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 Validation Lists" sheetId="1" r:id="rId5"/>
    <sheet state="visible" name="Quest List" sheetId="2" r:id="rId6"/>
  </sheets>
  <definedNames/>
  <calcPr/>
</workbook>
</file>

<file path=xl/sharedStrings.xml><?xml version="1.0" encoding="utf-8"?>
<sst xmlns="http://schemas.openxmlformats.org/spreadsheetml/2006/main" count="232" uniqueCount="111">
  <si>
    <t>Quest Name</t>
  </si>
  <si>
    <t>Settlement</t>
  </si>
  <si>
    <t>Questgiver</t>
  </si>
  <si>
    <t>Dungeon Name</t>
  </si>
  <si>
    <t>Quest Description</t>
  </si>
  <si>
    <t>Boss</t>
  </si>
  <si>
    <t>Tier</t>
  </si>
  <si>
    <t>Teddy is Missing!</t>
  </si>
  <si>
    <t>Shuna</t>
  </si>
  <si>
    <t>Jedda Arcus</t>
  </si>
  <si>
    <t>The Forest of Illusion</t>
  </si>
  <si>
    <t>Teddy, nephew of Shuna's blacksmith, went into the forest in search of herbs and salves. He hasn't returned; please find him!</t>
  </si>
  <si>
    <t>Giant Boar</t>
  </si>
  <si>
    <t>Corruption of the Great Tree</t>
  </si>
  <si>
    <t>Ra, the great tree of the sun that protects the forest has been infected with some kind of dark magic. You need to purify it!</t>
  </si>
  <si>
    <t>Nightmare Tumor</t>
  </si>
  <si>
    <t>Catch the Falling Star</t>
  </si>
  <si>
    <t>Some kind of falling star landed in the forest. Retrieve the metal to make into arms for the militia!</t>
  </si>
  <si>
    <t>Star Spawn</t>
  </si>
  <si>
    <t>An Old Friend</t>
  </si>
  <si>
    <t>Fletcher</t>
  </si>
  <si>
    <t>The Bandit Camp</t>
  </si>
  <si>
    <t>The leader of a local group of bandits, a former member of the militia, has gotten them organized and bold enough to begin raiding our food stores. Put a stop to it!</t>
  </si>
  <si>
    <t>The Bandit King</t>
  </si>
  <si>
    <t>The local bandits have enlisted the help of a mage to affect the weather.  The poor weather is affecting our crops and we're in danger of starving over the winter.</t>
  </si>
  <si>
    <t>Bandit Wizard</t>
  </si>
  <si>
    <t>The Skeleton Lord!</t>
  </si>
  <si>
    <t>King Simon</t>
  </si>
  <si>
    <t>Dungeon of the Skeleton Lord</t>
  </si>
  <si>
    <t>The Skeleton Lord has been amassing an army of undead, and they're sure to march on Shuna at any moment.  If you defeat their leader, hopefully the cursed magics holding the place will dissapate.</t>
  </si>
  <si>
    <t>The Skeleton Lord</t>
  </si>
  <si>
    <t>The Demon King's Necromancer</t>
  </si>
  <si>
    <t>A powerful necromancer loyal to The Demon King has taken up residence in a nearby dungeon.  Easy access to necromantic staples are sure to cause problems for Shuna. Find them and put an end to their dark magic!</t>
  </si>
  <si>
    <t>Necromancer</t>
  </si>
  <si>
    <t>Dreamer's Rest</t>
  </si>
  <si>
    <t>Eryndor Windmere</t>
  </si>
  <si>
    <t>Tower Basement</t>
  </si>
  <si>
    <t>Emelda Redbough</t>
  </si>
  <si>
    <t>The Tower of Mist</t>
  </si>
  <si>
    <t>Babaderu</t>
  </si>
  <si>
    <t>Mountain Peaks</t>
  </si>
  <si>
    <t>The Profane Ritual</t>
  </si>
  <si>
    <t>The Water Shrine</t>
  </si>
  <si>
    <t>Alden Orinbark</t>
  </si>
  <si>
    <t>Shrine Depths</t>
  </si>
  <si>
    <t>Another TDK cult has taken root in the forgotten halls deep inside the shrine. Find and expose them!</t>
  </si>
  <si>
    <t>High Cultist</t>
  </si>
  <si>
    <t>An Ancient Rite of Passage</t>
  </si>
  <si>
    <t>The ghost of a former priest of the ancients has awoken and is preventing access to the rest of the shrine until someone proves their worth</t>
  </si>
  <si>
    <t>Ancients Ghost Priest</t>
  </si>
  <si>
    <t>Amata Ifura</t>
  </si>
  <si>
    <t>Tidal Caves</t>
  </si>
  <si>
    <t>Undead Pirates!</t>
  </si>
  <si>
    <t>Undead Pirate Captain</t>
  </si>
  <si>
    <t>Sirens have been luring merchant ships to their death</t>
  </si>
  <si>
    <t>Sirens</t>
  </si>
  <si>
    <t>Mira Solene</t>
  </si>
  <si>
    <t>The Desert Dungeon</t>
  </si>
  <si>
    <t>Pandam</t>
  </si>
  <si>
    <t>Hans</t>
  </si>
  <si>
    <t>Theives Guild Hideout</t>
  </si>
  <si>
    <t>Another guild is attempting to muscle The Men of the Sea out!</t>
  </si>
  <si>
    <t>Head of the Thieves Guild</t>
  </si>
  <si>
    <t>Maris Featherwind</t>
  </si>
  <si>
    <t>Pandam Sewers</t>
  </si>
  <si>
    <t>Tiny Vermin!</t>
  </si>
  <si>
    <t>Darum Vermillion</t>
  </si>
  <si>
    <t>Pandam Cathedral</t>
  </si>
  <si>
    <t>A cult worshipping The Demon King has taken up residence in the Cathedral outside town. Find their leader and put an end to their dark magic!</t>
  </si>
  <si>
    <t>The Dragonsblood Elixir</t>
  </si>
  <si>
    <t>Umbraveil</t>
  </si>
  <si>
    <t>Phoebe McIntire</t>
  </si>
  <si>
    <t>Fireburg Volcano</t>
  </si>
  <si>
    <t>Phoebe McIntire needs ingredients for the famous Dragonsblood Elixir. These herbs only grow in the Volcano</t>
  </si>
  <si>
    <t>Dual Headed Hydra</t>
  </si>
  <si>
    <t>TDK Follower is fucking with the crystal: stop them!</t>
  </si>
  <si>
    <t>The Ancient Pact</t>
  </si>
  <si>
    <t>Catrin Russo</t>
  </si>
  <si>
    <t>Castle Natela</t>
  </si>
  <si>
    <t>A metal band forged to show the pact between Umbraveil and Kostaki may still be in the castle. Even without Kostaki's protection, the band has powerful magics and must be retrieved.</t>
  </si>
  <si>
    <t>The Castle Guardian</t>
  </si>
  <si>
    <t>A Rival Wizard</t>
  </si>
  <si>
    <t>A rival wizard is attempting to claim the Castle for themselves!</t>
  </si>
  <si>
    <t>Ella</t>
  </si>
  <si>
    <t>What a Jam We're In</t>
  </si>
  <si>
    <t>Yuki Lanford</t>
  </si>
  <si>
    <t>Castle Natela's Basement</t>
  </si>
  <si>
    <t>Yuki wants ingredients for a jam from the larder of Castle Natela.</t>
  </si>
  <si>
    <t>Something with singing?</t>
  </si>
  <si>
    <t>Retrieve the Prototype</t>
  </si>
  <si>
    <t>Explorer's Camp</t>
  </si>
  <si>
    <t>Gaelrick Quickstep</t>
  </si>
  <si>
    <t>Weapons Research</t>
  </si>
  <si>
    <t>A powerful weapon was being constructed deep inside The Shining Path. You need to find it before forces loyal to The Demon King do!</t>
  </si>
  <si>
    <t>Artillery Platform</t>
  </si>
  <si>
    <t>Some kind of bioweapon has been released after The Demon King started the ritual</t>
  </si>
  <si>
    <t>The Amalgam</t>
  </si>
  <si>
    <t>Power &amp; Light</t>
  </si>
  <si>
    <t>The ancients captured some kind of elemental and enslaved it for power generation purposes. It's gone mad and needs to be put out of its misery before it causes too much damage.</t>
  </si>
  <si>
    <t>Arcane Elemental</t>
  </si>
  <si>
    <t>Ryn Claybrow</t>
  </si>
  <si>
    <t>Climate Control</t>
  </si>
  <si>
    <t>TDK Lieutenant is using this system to poison the water supply</t>
  </si>
  <si>
    <t>TDK Lackey</t>
  </si>
  <si>
    <t>The Spirit of the Machine</t>
  </si>
  <si>
    <t>A machine has been reawoken by TDK's ritual and is randomly terraforming the surrounding area</t>
  </si>
  <si>
    <t>Mother Brain</t>
  </si>
  <si>
    <t>A Ghost Story Before Bed</t>
  </si>
  <si>
    <t>Kesta the Antiquarian</t>
  </si>
  <si>
    <t>The Residential District</t>
  </si>
  <si>
    <t>Angry ghosts have been riled up and started attacking the camp. Find and stop whatever is driving them mad</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</si>
</sst>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theme="1"/>
      <name val="Arial"/>
      <scheme val="minor"/>
    </font>
    <font>
      <color theme="1"/>
      <name val="Arial"/>
      <scheme val="minor"/>
    </font>
    <font>
      <b/>
      <sz val="14.0"/>
      <color theme="1"/>
      <name val="Arial"/>
    </font>
    <font>
      <color theme="1"/>
      <name val="Arial"/>
    </font>
  </fonts>
  <fills count="4">
    <fill>
      <patternFill patternType="none"/>
    </fill>
    <fill>
      <patternFill patternType="lightGray"/>
    </fill>
    <fill>
      <patternFill patternType="solid">
        <fgColor rgb="FFB7B7B7"/>
        <bgColor rgb="FFB7B7B7"/>
      </patternFill>
    </fill>
    <fill>
      <patternFill patternType="solid">
        <fgColor rgb="FFFFFF00"/>
        <bgColor rgb="FFFFFF00"/>
      </patternFill>
    </fill>
  </fills>
  <borders count="2">
    <border/>
    <border>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Border="1" applyFill="1" applyFont="1"/>
    <xf borderId="0" fillId="0" fontId="2" numFmtId="0" xfId="0" applyFont="1"/>
    <xf borderId="1" fillId="2" fontId="3" numFmtId="0" xfId="0" applyAlignment="1" applyBorder="1" applyFont="1">
      <alignment vertical="bottom"/>
    </xf>
    <xf borderId="1" fillId="2" fontId="3" numFmtId="0" xfId="0" applyAlignment="1" applyBorder="1" applyFont="1">
      <alignment shrinkToFit="0" vertical="bottom" wrapText="1"/>
    </xf>
    <xf borderId="1" fillId="2" fontId="4" numFmtId="0" xfId="0" applyAlignment="1" applyBorder="1" applyFont="1">
      <alignment vertical="bottom"/>
    </xf>
    <xf borderId="0" fillId="0" fontId="4" numFmtId="0" xfId="0" applyAlignment="1" applyFont="1">
      <alignment vertical="bottom"/>
    </xf>
    <xf borderId="0" fillId="0" fontId="4" numFmtId="0" xfId="0" applyAlignment="1" applyFont="1">
      <alignment shrinkToFit="0" vertical="bottom" wrapText="1"/>
    </xf>
    <xf borderId="0" fillId="0" fontId="4" numFmtId="0" xfId="0" applyAlignment="1" applyFont="1">
      <alignment readingOrder="0" vertical="bottom"/>
    </xf>
    <xf borderId="0" fillId="3" fontId="4" numFmtId="0" xfId="0" applyAlignment="1" applyFill="1" applyFont="1">
      <alignment vertical="bottom"/>
    </xf>
    <xf borderId="0" fillId="0" fontId="4" numFmtId="0" xfId="0" applyAlignment="1" applyFont="1">
      <alignment readingOrder="0" shrinkToFit="0" vertical="bottom" wrapText="1"/>
    </xf>
  </cellXfs>
  <cellStyles count="1">
    <cellStyle xfId="0" name="Normal" builtinId="0"/>
  </cellStyles>
  <dxfs count="1">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88"/>
  </cols>
  <sheetData>
    <row r="1">
      <c r="A1" s="1" t="str">
        <f>IFERROR(__xludf.DUMMYFUNCTION("IMPORTRANGE(""https://docs.google.com/spreadsheets/d/1V2VZjdxtK2Luwd1adElxgqyPyzCzGsd-PV-oDONkYp8/edit?usp=sharing"",""Master_Data_Validation!A1:Z500"")"),"Settlements")</f>
        <v>Settlements</v>
      </c>
      <c r="B1" s="1" t="str">
        <f>IFERROR(__xludf.DUMMYFUNCTION("""COMPUTED_VALUE"""),"Dungeons")</f>
        <v>Dungeons</v>
      </c>
      <c r="C1" s="1" t="str">
        <f>IFERROR(__xludf.DUMMYFUNCTION("""COMPUTED_VALUE"""),"Questgivers")</f>
        <v>Questgivers</v>
      </c>
      <c r="D1" s="1" t="str">
        <f>IFERROR(__xludf.DUMMYFUNCTION("""COMPUTED_VALUE"""),"Monster Sizes")</f>
        <v>Monster Sizes</v>
      </c>
      <c r="E1" s="1" t="str">
        <f>IFERROR(__xludf.DUMMYFUNCTION("""COMPUTED_VALUE"""),"Rarities")</f>
        <v>Rarities</v>
      </c>
      <c r="F1" s="1" t="str">
        <f>IFERROR(__xludf.DUMMYFUNCTION("""COMPUTED_VALUE"""),"Keywords")</f>
        <v>Keywords</v>
      </c>
      <c r="G1" s="1" t="str">
        <f>IFERROR(__xludf.DUMMYFUNCTION("""COMPUTED_VALUE"""),"Traits")</f>
        <v>Traits</v>
      </c>
      <c r="H1" s="1" t="str">
        <f>IFERROR(__xludf.DUMMYFUNCTION("""COMPUTED_VALUE"""),"Targeting Type")</f>
        <v>Targeting Type</v>
      </c>
      <c r="I1" s="1" t="str">
        <f>IFERROR(__xludf.DUMMYFUNCTION("""COMPUTED_VALUE"""),"Valid Targets")</f>
        <v>Valid Targets</v>
      </c>
      <c r="J1" s="1" t="str">
        <f>IFERROR(__xludf.DUMMYFUNCTION("""COMPUTED_VALUE"""),"Living or Dead")</f>
        <v>Living or Dead</v>
      </c>
      <c r="K1" s="1" t="str">
        <f>IFERROR(__xludf.DUMMYFUNCTION("""COMPUTED_VALUE"""),"Element")</f>
        <v>Element</v>
      </c>
      <c r="L1" s="1" t="str">
        <f>IFERROR(__xludf.DUMMYFUNCTION("""COMPUTED_VALUE"""),"Asset Triggers")</f>
        <v>Asset Triggers</v>
      </c>
      <c r="M1" s="1" t="str">
        <f>IFERROR(__xludf.DUMMYFUNCTION("""COMPUTED_VALUE"""),"Jobs")</f>
        <v>Jobs</v>
      </c>
      <c r="N1" s="1" t="str">
        <f>IFERROR(__xludf.DUMMYFUNCTION("""COMPUTED_VALUE"""),"TP Cost")</f>
        <v>TP Cost</v>
      </c>
      <c r="O1" s="1" t="str">
        <f>IFERROR(__xludf.DUMMYFUNCTION("""COMPUTED_VALUE"""),"Tier")</f>
        <v>Tier</v>
      </c>
      <c r="P1" s="1"/>
      <c r="Q1" s="1"/>
      <c r="R1" s="1"/>
      <c r="S1" s="1"/>
      <c r="T1" s="1"/>
      <c r="U1" s="1"/>
      <c r="V1" s="1"/>
      <c r="W1" s="1"/>
      <c r="X1" s="1"/>
      <c r="Y1" s="1"/>
      <c r="Z1" s="1"/>
    </row>
    <row r="2">
      <c r="A2" s="2" t="str">
        <f>IFERROR(__xludf.DUMMYFUNCTION("""COMPUTED_VALUE"""),"Shuna")</f>
        <v>Shuna</v>
      </c>
      <c r="B2" s="2" t="str">
        <f>IFERROR(__xludf.DUMMYFUNCTION("""COMPUTED_VALUE"""),"The Forest of Illusion")</f>
        <v>The Forest of Illusion</v>
      </c>
      <c r="C2" s="2" t="str">
        <f>IFERROR(__xludf.DUMMYFUNCTION("""COMPUTED_VALUE"""),"Jedda Arcus")</f>
        <v>Jedda Arcus</v>
      </c>
      <c r="D2" s="2" t="str">
        <f>IFERROR(__xludf.DUMMYFUNCTION("""COMPUTED_VALUE"""),"1x1")</f>
        <v>1x1</v>
      </c>
      <c r="E2" s="2" t="str">
        <f>IFERROR(__xludf.DUMMYFUNCTION("""COMPUTED_VALUE"""),"1. Low Common")</f>
        <v>1. Low Common</v>
      </c>
      <c r="F2" s="2" t="str">
        <f>IFERROR(__xludf.DUMMYFUNCTION("""COMPUTED_VALUE"""),"Exhaust")</f>
        <v>Exhaust</v>
      </c>
      <c r="G2" s="2" t="str">
        <f>IFERROR(__xludf.DUMMYFUNCTION("""COMPUTED_VALUE"""),"Ignore Def")</f>
        <v>Ignore Def</v>
      </c>
      <c r="H2" s="2" t="str">
        <f>IFERROR(__xludf.DUMMYFUNCTION("""COMPUTED_VALUE"""),"Choose")</f>
        <v>Choose</v>
      </c>
      <c r="I2" s="2" t="str">
        <f>IFERROR(__xludf.DUMMYFUNCTION("""COMPUTED_VALUE"""),"Opponents")</f>
        <v>Opponents</v>
      </c>
      <c r="J2" s="2" t="str">
        <f>IFERROR(__xludf.DUMMYFUNCTION("""COMPUTED_VALUE"""),"Living")</f>
        <v>Living</v>
      </c>
      <c r="K2" s="2" t="str">
        <f>IFERROR(__xludf.DUMMYFUNCTION("""COMPUTED_VALUE"""),"Fire")</f>
        <v>Fire</v>
      </c>
      <c r="L2" s="2" t="str">
        <f>IFERROR(__xludf.DUMMYFUNCTION("""COMPUTED_VALUE"""),"None")</f>
        <v>None</v>
      </c>
      <c r="M2" s="2" t="str">
        <f>IFERROR(__xludf.DUMMYFUNCTION("""COMPUTED_VALUE"""),"Any Adventurer")</f>
        <v>Any Adventurer</v>
      </c>
      <c r="N2" s="2">
        <f>IFERROR(__xludf.DUMMYFUNCTION("""COMPUTED_VALUE"""),0.0)</f>
        <v>0</v>
      </c>
      <c r="O2" s="2">
        <f>IFERROR(__xludf.DUMMYFUNCTION("""COMPUTED_VALUE"""),1.0)</f>
        <v>1</v>
      </c>
      <c r="P2" s="2"/>
      <c r="Q2" s="2"/>
      <c r="R2" s="2"/>
      <c r="S2" s="2"/>
      <c r="T2" s="2"/>
      <c r="U2" s="2"/>
      <c r="V2" s="2"/>
      <c r="W2" s="2"/>
      <c r="X2" s="2"/>
      <c r="Y2" s="2"/>
      <c r="Z2" s="2"/>
    </row>
    <row r="3">
      <c r="A3" s="2" t="str">
        <f>IFERROR(__xludf.DUMMYFUNCTION("""COMPUTED_VALUE"""),"Dreamer's Rest")</f>
        <v>Dreamer's Rest</v>
      </c>
      <c r="B3" s="2" t="str">
        <f>IFERROR(__xludf.DUMMYFUNCTION("""COMPUTED_VALUE"""),"The Bandit Camp")</f>
        <v>The Bandit Camp</v>
      </c>
      <c r="C3" s="2" t="str">
        <f>IFERROR(__xludf.DUMMYFUNCTION("""COMPUTED_VALUE"""),"Fletcher")</f>
        <v>Fletcher</v>
      </c>
      <c r="D3" s="2" t="str">
        <f>IFERROR(__xludf.DUMMYFUNCTION("""COMPUTED_VALUE"""),"2x1")</f>
        <v>2x1</v>
      </c>
      <c r="E3" s="2" t="str">
        <f>IFERROR(__xludf.DUMMYFUNCTION("""COMPUTED_VALUE"""),"2. High Common")</f>
        <v>2. High Common</v>
      </c>
      <c r="F3" s="2" t="str">
        <f>IFERROR(__xludf.DUMMYFUNCTION("""COMPUTED_VALUE"""),"Single Use")</f>
        <v>Single Use</v>
      </c>
      <c r="G3" s="2" t="str">
        <f>IFERROR(__xludf.DUMMYFUNCTION("""COMPUTED_VALUE"""),"No Cover")</f>
        <v>No Cover</v>
      </c>
      <c r="H3" s="2" t="str">
        <f>IFERROR(__xludf.DUMMYFUNCTION("""COMPUTED_VALUE"""),"Choose No Replacement")</f>
        <v>Choose No Replacement</v>
      </c>
      <c r="I3" s="2" t="str">
        <f>IFERROR(__xludf.DUMMYFUNCTION("""COMPUTED_VALUE"""),"Allies")</f>
        <v>Allies</v>
      </c>
      <c r="J3" s="2" t="str">
        <f>IFERROR(__xludf.DUMMYFUNCTION("""COMPUTED_VALUE"""),"Dead")</f>
        <v>Dead</v>
      </c>
      <c r="K3" s="2" t="str">
        <f>IFERROR(__xludf.DUMMYFUNCTION("""COMPUTED_VALUE"""),"Ice")</f>
        <v>Ice</v>
      </c>
      <c r="L3" s="2" t="str">
        <f>IFERROR(__xludf.DUMMYFUNCTION("""COMPUTED_VALUE"""),"Start of Battle")</f>
        <v>Start of Battle</v>
      </c>
      <c r="M3" s="2" t="str">
        <f>IFERROR(__xludf.DUMMYFUNCTION("""COMPUTED_VALUE"""),"Fighter")</f>
        <v>Fighter</v>
      </c>
      <c r="N3" s="2">
        <f>IFERROR(__xludf.DUMMYFUNCTION("""COMPUTED_VALUE"""),8.0)</f>
        <v>8</v>
      </c>
      <c r="O3" s="2">
        <f>IFERROR(__xludf.DUMMYFUNCTION("""COMPUTED_VALUE"""),2.0)</f>
        <v>2</v>
      </c>
      <c r="P3" s="2"/>
      <c r="Q3" s="2"/>
      <c r="R3" s="2"/>
      <c r="S3" s="2"/>
      <c r="T3" s="2"/>
      <c r="U3" s="2"/>
      <c r="V3" s="2"/>
      <c r="W3" s="2"/>
      <c r="X3" s="2"/>
      <c r="Y3" s="2"/>
      <c r="Z3" s="2"/>
    </row>
    <row r="4">
      <c r="A4" s="2" t="str">
        <f>IFERROR(__xludf.DUMMYFUNCTION("""COMPUTED_VALUE"""),"The Water Shrine")</f>
        <v>The Water Shrine</v>
      </c>
      <c r="B4" s="2" t="str">
        <f>IFERROR(__xludf.DUMMYFUNCTION("""COMPUTED_VALUE"""),"Dungeon of the Skeleton Lord")</f>
        <v>Dungeon of the Skeleton Lord</v>
      </c>
      <c r="C4" s="2" t="str">
        <f>IFERROR(__xludf.DUMMYFUNCTION("""COMPUTED_VALUE"""),"King Simon")</f>
        <v>King Simon</v>
      </c>
      <c r="D4" s="2" t="str">
        <f>IFERROR(__xludf.DUMMYFUNCTION("""COMPUTED_VALUE"""),"3x1")</f>
        <v>3x1</v>
      </c>
      <c r="E4" s="2" t="str">
        <f>IFERROR(__xludf.DUMMYFUNCTION("""COMPUTED_VALUE"""),"3. Low Rare")</f>
        <v>3. Low Rare</v>
      </c>
      <c r="F4" s="2" t="str">
        <f>IFERROR(__xludf.DUMMYFUNCTION("""COMPUTED_VALUE"""),"Teamwork")</f>
        <v>Teamwork</v>
      </c>
      <c r="G4" s="2" t="str">
        <f>IFERROR(__xludf.DUMMYFUNCTION("""COMPUTED_VALUE"""),"No Evade")</f>
        <v>No Evade</v>
      </c>
      <c r="H4" s="2" t="str">
        <f>IFERROR(__xludf.DUMMYFUNCTION("""COMPUTED_VALUE"""),"Random")</f>
        <v>Random</v>
      </c>
      <c r="I4" s="2" t="str">
        <f>IFERROR(__xludf.DUMMYFUNCTION("""COMPUTED_VALUE"""),"Both")</f>
        <v>Both</v>
      </c>
      <c r="J4" s="2" t="str">
        <f>IFERROR(__xludf.DUMMYFUNCTION("""COMPUTED_VALUE"""),"Both")</f>
        <v>Both</v>
      </c>
      <c r="K4" s="2" t="str">
        <f>IFERROR(__xludf.DUMMYFUNCTION("""COMPUTED_VALUE"""),"Lit")</f>
        <v>Lit</v>
      </c>
      <c r="L4" s="2" t="str">
        <f>IFERROR(__xludf.DUMMYFUNCTION("""COMPUTED_VALUE"""),"Start of Round")</f>
        <v>Start of Round</v>
      </c>
      <c r="M4" s="2" t="str">
        <f>IFERROR(__xludf.DUMMYFUNCTION("""COMPUTED_VALUE"""),"Rogue")</f>
        <v>Rogue</v>
      </c>
      <c r="N4" s="2">
        <f>IFERROR(__xludf.DUMMYFUNCTION("""COMPUTED_VALUE"""),14.0)</f>
        <v>14</v>
      </c>
      <c r="O4" s="2">
        <f>IFERROR(__xludf.DUMMYFUNCTION("""COMPUTED_VALUE"""),3.0)</f>
        <v>3</v>
      </c>
      <c r="P4" s="2"/>
      <c r="Q4" s="2"/>
      <c r="R4" s="2"/>
      <c r="S4" s="2"/>
      <c r="T4" s="2"/>
      <c r="U4" s="2"/>
      <c r="V4" s="2"/>
      <c r="W4" s="2"/>
      <c r="X4" s="2"/>
      <c r="Y4" s="2"/>
      <c r="Z4" s="2"/>
    </row>
    <row r="5">
      <c r="A5" s="2" t="str">
        <f>IFERROR(__xludf.DUMMYFUNCTION("""COMPUTED_VALUE"""),"Pandam")</f>
        <v>Pandam</v>
      </c>
      <c r="B5" s="2" t="str">
        <f>IFERROR(__xludf.DUMMYFUNCTION("""COMPUTED_VALUE"""),"Tower Basement")</f>
        <v>Tower Basement</v>
      </c>
      <c r="C5" s="2" t="str">
        <f>IFERROR(__xludf.DUMMYFUNCTION("""COMPUTED_VALUE"""),"Eryndor Windmere")</f>
        <v>Eryndor Windmere</v>
      </c>
      <c r="D5" s="2" t="str">
        <f>IFERROR(__xludf.DUMMYFUNCTION("""COMPUTED_VALUE"""),"4x1")</f>
        <v>4x1</v>
      </c>
      <c r="E5" s="2" t="str">
        <f>IFERROR(__xludf.DUMMYFUNCTION("""COMPUTED_VALUE"""),"4. High Rare")</f>
        <v>4. High Rare</v>
      </c>
      <c r="F5" s="2" t="str">
        <f>IFERROR(__xludf.DUMMYFUNCTION("""COMPUTED_VALUE"""),"Growth")</f>
        <v>Growth</v>
      </c>
      <c r="G5" s="2" t="str">
        <f>IFERROR(__xludf.DUMMYFUNCTION("""COMPUTED_VALUE"""),"Healing")</f>
        <v>Healing</v>
      </c>
      <c r="H5" s="2" t="str">
        <f>IFERROR(__xludf.DUMMYFUNCTION("""COMPUTED_VALUE"""),"Random No Replacement")</f>
        <v>Random No Replacement</v>
      </c>
      <c r="I5" s="2"/>
      <c r="J5" s="2"/>
      <c r="K5" s="2" t="str">
        <f>IFERROR(__xludf.DUMMYFUNCTION("""COMPUTED_VALUE"""),"Void")</f>
        <v>Void</v>
      </c>
      <c r="L5" s="2" t="str">
        <f>IFERROR(__xludf.DUMMYFUNCTION("""COMPUTED_VALUE"""),"Start of Turn")</f>
        <v>Start of Turn</v>
      </c>
      <c r="M5" s="2" t="str">
        <f>IFERROR(__xludf.DUMMYFUNCTION("""COMPUTED_VALUE"""),"W Mage")</f>
        <v>W Mage</v>
      </c>
      <c r="N5" s="2"/>
      <c r="O5" s="2"/>
      <c r="P5" s="2"/>
      <c r="Q5" s="2"/>
      <c r="R5" s="2"/>
      <c r="S5" s="2"/>
      <c r="T5" s="2"/>
      <c r="U5" s="2"/>
      <c r="V5" s="2"/>
      <c r="W5" s="2"/>
      <c r="X5" s="2"/>
      <c r="Y5" s="2"/>
      <c r="Z5" s="2"/>
    </row>
    <row r="6">
      <c r="A6" s="2" t="str">
        <f>IFERROR(__xludf.DUMMYFUNCTION("""COMPUTED_VALUE"""),"Umbraveil")</f>
        <v>Umbraveil</v>
      </c>
      <c r="B6" s="2" t="str">
        <f>IFERROR(__xludf.DUMMYFUNCTION("""COMPUTED_VALUE"""),"The Tower of Mist")</f>
        <v>The Tower of Mist</v>
      </c>
      <c r="C6" s="2" t="str">
        <f>IFERROR(__xludf.DUMMYFUNCTION("""COMPUTED_VALUE"""),"Emelda Redbough")</f>
        <v>Emelda Redbough</v>
      </c>
      <c r="D6" s="2" t="str">
        <f>IFERROR(__xludf.DUMMYFUNCTION("""COMPUTED_VALUE"""),"1x2")</f>
        <v>1x2</v>
      </c>
      <c r="E6" s="2" t="str">
        <f>IFERROR(__xludf.DUMMYFUNCTION("""COMPUTED_VALUE"""),"5. Legendary")</f>
        <v>5. Legendary</v>
      </c>
      <c r="F6" s="2" t="str">
        <f>IFERROR(__xludf.DUMMYFUNCTION("""COMPUTED_VALUE"""),"Engage")</f>
        <v>Engage</v>
      </c>
      <c r="G6" s="2" t="str">
        <f>IFERROR(__xludf.DUMMYFUNCTION("""COMPUTED_VALUE"""),"Affects Tp")</f>
        <v>Affects Tp</v>
      </c>
      <c r="H6" s="2" t="str">
        <f>IFERROR(__xludf.DUMMYFUNCTION("""COMPUTED_VALUE"""),"All")</f>
        <v>All</v>
      </c>
      <c r="I6" s="2"/>
      <c r="J6" s="2"/>
      <c r="K6" s="2" t="str">
        <f>IFERROR(__xludf.DUMMYFUNCTION("""COMPUTED_VALUE"""),"None")</f>
        <v>None</v>
      </c>
      <c r="L6" s="2" t="str">
        <f>IFERROR(__xludf.DUMMYFUNCTION("""COMPUTED_VALUE"""),"End of Turn")</f>
        <v>End of Turn</v>
      </c>
      <c r="M6" s="2" t="str">
        <f>IFERROR(__xludf.DUMMYFUNCTION("""COMPUTED_VALUE"""),"B Mage")</f>
        <v>B Mage</v>
      </c>
      <c r="N6" s="2"/>
      <c r="O6" s="2"/>
      <c r="P6" s="2"/>
      <c r="Q6" s="2"/>
      <c r="R6" s="2"/>
      <c r="S6" s="2"/>
      <c r="T6" s="2"/>
      <c r="U6" s="2"/>
      <c r="V6" s="2"/>
      <c r="W6" s="2"/>
      <c r="X6" s="2"/>
      <c r="Y6" s="2"/>
      <c r="Z6" s="2"/>
    </row>
    <row r="7">
      <c r="A7" s="2" t="str">
        <f>IFERROR(__xludf.DUMMYFUNCTION("""COMPUTED_VALUE"""),"Explorer's Camp")</f>
        <v>Explorer's Camp</v>
      </c>
      <c r="B7" s="2" t="str">
        <f>IFERROR(__xludf.DUMMYFUNCTION("""COMPUTED_VALUE"""),"Mountain Peaks")</f>
        <v>Mountain Peaks</v>
      </c>
      <c r="C7" s="2" t="str">
        <f>IFERROR(__xludf.DUMMYFUNCTION("""COMPUTED_VALUE"""),"Babaderu")</f>
        <v>Babaderu</v>
      </c>
      <c r="D7" s="2" t="str">
        <f>IFERROR(__xludf.DUMMYFUNCTION("""COMPUTED_VALUE"""),"2x2")</f>
        <v>2x2</v>
      </c>
      <c r="E7" s="2"/>
      <c r="F7" s="2" t="str">
        <f>IFERROR(__xludf.DUMMYFUNCTION("""COMPUTED_VALUE"""),"Cruel")</f>
        <v>Cruel</v>
      </c>
      <c r="G7" s="2" t="str">
        <f>IFERROR(__xludf.DUMMYFUNCTION("""COMPUTED_VALUE"""),"Targets Self")</f>
        <v>Targets Self</v>
      </c>
      <c r="H7" s="2"/>
      <c r="I7" s="2"/>
      <c r="J7" s="2"/>
      <c r="K7" s="2"/>
      <c r="L7" s="2" t="str">
        <f>IFERROR(__xludf.DUMMYFUNCTION("""COMPUTED_VALUE"""),"End of Round")</f>
        <v>End of Round</v>
      </c>
      <c r="M7" s="2"/>
      <c r="N7" s="2"/>
      <c r="O7" s="2"/>
      <c r="P7" s="2"/>
      <c r="Q7" s="2"/>
      <c r="R7" s="2"/>
      <c r="S7" s="2"/>
      <c r="T7" s="2"/>
      <c r="U7" s="2"/>
      <c r="V7" s="2"/>
      <c r="W7" s="2"/>
      <c r="X7" s="2"/>
      <c r="Y7" s="2"/>
      <c r="Z7" s="2"/>
    </row>
    <row r="8">
      <c r="A8" s="2"/>
      <c r="B8" s="2" t="str">
        <f>IFERROR(__xludf.DUMMYFUNCTION("""COMPUTED_VALUE"""),"Shrine Depths")</f>
        <v>Shrine Depths</v>
      </c>
      <c r="C8" s="2" t="str">
        <f>IFERROR(__xludf.DUMMYFUNCTION("""COMPUTED_VALUE"""),"Alden Orinbark")</f>
        <v>Alden Orinbark</v>
      </c>
      <c r="D8" s="2" t="str">
        <f>IFERROR(__xludf.DUMMYFUNCTION("""COMPUTED_VALUE"""),"3x2")</f>
        <v>3x2</v>
      </c>
      <c r="E8" s="2"/>
      <c r="F8" s="2" t="str">
        <f>IFERROR(__xludf.DUMMYFUNCTION("""COMPUTED_VALUE"""),"Stoic")</f>
        <v>Stoic</v>
      </c>
      <c r="G8" s="2" t="str">
        <f>IFERROR(__xludf.DUMMYFUNCTION("""COMPUTED_VALUE"""),"Fixed Dmg")</f>
        <v>Fixed Dmg</v>
      </c>
      <c r="H8" s="2"/>
      <c r="I8" s="2"/>
      <c r="J8" s="2"/>
      <c r="K8" s="2"/>
      <c r="L8" s="2" t="str">
        <f>IFERROR(__xludf.DUMMYFUNCTION("""COMPUTED_VALUE"""),"End of Battle")</f>
        <v>End of Battle</v>
      </c>
      <c r="M8" s="2"/>
      <c r="N8" s="2"/>
      <c r="O8" s="2"/>
      <c r="P8" s="2"/>
      <c r="Q8" s="2"/>
      <c r="R8" s="2"/>
      <c r="S8" s="2"/>
      <c r="T8" s="2"/>
      <c r="U8" s="2"/>
      <c r="V8" s="2"/>
      <c r="W8" s="2"/>
      <c r="X8" s="2"/>
      <c r="Y8" s="2"/>
      <c r="Z8" s="2"/>
    </row>
    <row r="9">
      <c r="A9" s="2"/>
      <c r="B9" s="2" t="str">
        <f>IFERROR(__xludf.DUMMYFUNCTION("""COMPUTED_VALUE"""),"Tidal Caves")</f>
        <v>Tidal Caves</v>
      </c>
      <c r="C9" s="2" t="str">
        <f>IFERROR(__xludf.DUMMYFUNCTION("""COMPUTED_VALUE"""),"Amata Ifura")</f>
        <v>Amata Ifura</v>
      </c>
      <c r="D9" s="2" t="str">
        <f>IFERROR(__xludf.DUMMYFUNCTION("""COMPUTED_VALUE"""),"4x2")</f>
        <v>4x2</v>
      </c>
      <c r="E9" s="2"/>
      <c r="F9" s="2" t="str">
        <f>IFERROR(__xludf.DUMMYFUNCTION("""COMPUTED_VALUE"""),"Empowered")</f>
        <v>Empowered</v>
      </c>
      <c r="G9" s="2" t="str">
        <f>IFERROR(__xludf.DUMMYFUNCTION("""COMPUTED_VALUE"""),"Fixed Pwr")</f>
        <v>Fixed Pwr</v>
      </c>
      <c r="H9" s="2"/>
      <c r="I9" s="2"/>
      <c r="J9" s="2"/>
      <c r="K9" s="2"/>
      <c r="L9" s="2" t="str">
        <f>IFERROR(__xludf.DUMMYFUNCTION("""COMPUTED_VALUE"""),"On Action")</f>
        <v>On Action</v>
      </c>
      <c r="M9" s="2"/>
      <c r="N9" s="2"/>
      <c r="O9" s="2"/>
      <c r="P9" s="2"/>
      <c r="Q9" s="2"/>
      <c r="R9" s="2"/>
      <c r="S9" s="2"/>
      <c r="T9" s="2"/>
      <c r="U9" s="2"/>
      <c r="V9" s="2"/>
      <c r="W9" s="2"/>
      <c r="X9" s="2"/>
      <c r="Y9" s="2"/>
      <c r="Z9" s="2"/>
    </row>
    <row r="10">
      <c r="A10" s="2"/>
      <c r="B10" s="2" t="str">
        <f>IFERROR(__xludf.DUMMYFUNCTION("""COMPUTED_VALUE"""),"The Desert Dungeon")</f>
        <v>The Desert Dungeon</v>
      </c>
      <c r="C10" s="2" t="str">
        <f>IFERROR(__xludf.DUMMYFUNCTION("""COMPUTED_VALUE"""),"Mira Solene")</f>
        <v>Mira Solene</v>
      </c>
      <c r="D10" s="2"/>
      <c r="E10" s="2"/>
      <c r="F10" s="2"/>
      <c r="G10" s="2" t="str">
        <f>IFERROR(__xludf.DUMMYFUNCTION("""COMPUTED_VALUE"""),"Target Filtering")</f>
        <v>Target Filtering</v>
      </c>
      <c r="H10" s="2"/>
      <c r="I10" s="2"/>
      <c r="J10" s="2"/>
      <c r="K10" s="2"/>
      <c r="L10" s="2" t="str">
        <f>IFERROR(__xludf.DUMMYFUNCTION("""COMPUTED_VALUE"""),"On Target Hp Change")</f>
        <v>On Target Hp Change</v>
      </c>
      <c r="M10" s="2"/>
      <c r="N10" s="2"/>
      <c r="O10" s="2"/>
      <c r="P10" s="2"/>
      <c r="Q10" s="2"/>
      <c r="R10" s="2"/>
      <c r="S10" s="2"/>
      <c r="T10" s="2"/>
      <c r="U10" s="2"/>
      <c r="V10" s="2"/>
      <c r="W10" s="2"/>
      <c r="X10" s="2"/>
      <c r="Y10" s="2"/>
      <c r="Z10" s="2"/>
    </row>
    <row r="11">
      <c r="A11" s="2"/>
      <c r="B11" s="2" t="str">
        <f>IFERROR(__xludf.DUMMYFUNCTION("""COMPUTED_VALUE"""),"Theives Guild Hideout")</f>
        <v>Theives Guild Hideout</v>
      </c>
      <c r="C11" s="2" t="str">
        <f>IFERROR(__xludf.DUMMYFUNCTION("""COMPUTED_VALUE"""),"Hans")</f>
        <v>Hans</v>
      </c>
      <c r="D11" s="2"/>
      <c r="E11" s="2"/>
      <c r="F11" s="2"/>
      <c r="G11" s="2" t="str">
        <f>IFERROR(__xludf.DUMMYFUNCTION("""COMPUTED_VALUE"""),"Out of Combat")</f>
        <v>Out of Combat</v>
      </c>
      <c r="H11" s="2"/>
      <c r="I11" s="2"/>
      <c r="J11" s="2"/>
      <c r="K11" s="2"/>
      <c r="L11" s="2" t="str">
        <f>IFERROR(__xludf.DUMMYFUNCTION("""COMPUTED_VALUE"""),"On Critical Hit")</f>
        <v>On Critical Hit</v>
      </c>
      <c r="M11" s="2"/>
      <c r="N11" s="2"/>
      <c r="O11" s="2"/>
      <c r="P11" s="2"/>
      <c r="Q11" s="2"/>
      <c r="R11" s="2"/>
      <c r="S11" s="2"/>
      <c r="T11" s="2"/>
      <c r="U11" s="2"/>
      <c r="V11" s="2"/>
      <c r="W11" s="2"/>
      <c r="X11" s="2"/>
      <c r="Y11" s="2"/>
      <c r="Z11" s="2"/>
    </row>
    <row r="12">
      <c r="A12" s="2"/>
      <c r="B12" s="2" t="str">
        <f>IFERROR(__xludf.DUMMYFUNCTION("""COMPUTED_VALUE"""),"Pandam Sewers")</f>
        <v>Pandam Sewers</v>
      </c>
      <c r="C12" s="2" t="str">
        <f>IFERROR(__xludf.DUMMYFUNCTION("""COMPUTED_VALUE"""),"Maris Featherwind")</f>
        <v>Maris Featherwind</v>
      </c>
      <c r="D12" s="2"/>
      <c r="E12" s="2"/>
      <c r="F12" s="2"/>
      <c r="G12" s="2" t="str">
        <f>IFERROR(__xludf.DUMMYFUNCTION("""COMPUTED_VALUE"""),"No Targets")</f>
        <v>No Targets</v>
      </c>
      <c r="H12" s="2"/>
      <c r="I12" s="2"/>
      <c r="J12" s="2"/>
      <c r="K12" s="2"/>
      <c r="L12" s="2" t="str">
        <f>IFERROR(__xludf.DUMMYFUNCTION("""COMPUTED_VALUE"""),"On Target Death")</f>
        <v>On Target Death</v>
      </c>
      <c r="M12" s="2"/>
      <c r="N12" s="2"/>
      <c r="O12" s="2"/>
      <c r="P12" s="2"/>
      <c r="Q12" s="2"/>
      <c r="R12" s="2"/>
      <c r="S12" s="2"/>
      <c r="T12" s="2"/>
      <c r="U12" s="2"/>
      <c r="V12" s="2"/>
      <c r="W12" s="2"/>
      <c r="X12" s="2"/>
      <c r="Y12" s="2"/>
      <c r="Z12" s="2"/>
    </row>
    <row r="13">
      <c r="A13" s="2"/>
      <c r="B13" s="2" t="str">
        <f>IFERROR(__xludf.DUMMYFUNCTION("""COMPUTED_VALUE"""),"Pandam Cathedral")</f>
        <v>Pandam Cathedral</v>
      </c>
      <c r="C13" s="2" t="str">
        <f>IFERROR(__xludf.DUMMYFUNCTION("""COMPUTED_VALUE"""),"Darum Vermillion")</f>
        <v>Darum Vermillion</v>
      </c>
      <c r="D13" s="2"/>
      <c r="E13" s="2"/>
      <c r="F13" s="2"/>
      <c r="G13" s="2" t="str">
        <f>IFERROR(__xludf.DUMMYFUNCTION("""COMPUTED_VALUE"""),"No Blue Mage")</f>
        <v>No Blue Mage</v>
      </c>
      <c r="H13" s="2"/>
      <c r="I13" s="2"/>
      <c r="J13" s="2"/>
      <c r="K13" s="2"/>
      <c r="L13" s="2" t="str">
        <f>IFERROR(__xludf.DUMMYFUNCTION("""COMPUTED_VALUE"""),"On Hp Change")</f>
        <v>On Hp Change</v>
      </c>
      <c r="M13" s="2"/>
      <c r="N13" s="2"/>
      <c r="O13" s="2"/>
      <c r="P13" s="2"/>
      <c r="Q13" s="2"/>
      <c r="R13" s="2"/>
      <c r="S13" s="2"/>
      <c r="T13" s="2"/>
      <c r="U13" s="2"/>
      <c r="V13" s="2"/>
      <c r="W13" s="2"/>
      <c r="X13" s="2"/>
      <c r="Y13" s="2"/>
      <c r="Z13" s="2"/>
    </row>
    <row r="14">
      <c r="A14" s="2"/>
      <c r="B14" s="2" t="str">
        <f>IFERROR(__xludf.DUMMYFUNCTION("""COMPUTED_VALUE"""),"Fireburg Volcano")</f>
        <v>Fireburg Volcano</v>
      </c>
      <c r="C14" s="2" t="str">
        <f>IFERROR(__xludf.DUMMYFUNCTION("""COMPUTED_VALUE"""),"Phoebe McIntire")</f>
        <v>Phoebe McIntire</v>
      </c>
      <c r="D14" s="2"/>
      <c r="E14" s="2"/>
      <c r="F14" s="2"/>
      <c r="G14" s="2"/>
      <c r="H14" s="2"/>
      <c r="I14" s="2"/>
      <c r="J14" s="2"/>
      <c r="K14" s="2"/>
      <c r="L14" s="2" t="str">
        <f>IFERROR(__xludf.DUMMYFUNCTION("""COMPUTED_VALUE"""),"On Tp Change")</f>
        <v>On Tp Change</v>
      </c>
      <c r="M14" s="2"/>
      <c r="N14" s="2"/>
      <c r="O14" s="2"/>
      <c r="P14" s="2"/>
      <c r="Q14" s="2"/>
      <c r="R14" s="2"/>
      <c r="S14" s="2"/>
      <c r="T14" s="2"/>
      <c r="U14" s="2"/>
      <c r="V14" s="2"/>
      <c r="W14" s="2"/>
      <c r="X14" s="2"/>
      <c r="Y14" s="2"/>
      <c r="Z14" s="2"/>
    </row>
    <row r="15">
      <c r="A15" s="2"/>
      <c r="B15" s="2" t="str">
        <f>IFERROR(__xludf.DUMMYFUNCTION("""COMPUTED_VALUE"""),"Castle Natela")</f>
        <v>Castle Natela</v>
      </c>
      <c r="C15" s="2" t="str">
        <f>IFERROR(__xludf.DUMMYFUNCTION("""COMPUTED_VALUE"""),"Catrin Russo")</f>
        <v>Catrin Russo</v>
      </c>
      <c r="D15" s="2"/>
      <c r="E15" s="2"/>
      <c r="F15" s="2"/>
      <c r="G15" s="2"/>
      <c r="H15" s="2"/>
      <c r="I15" s="2"/>
      <c r="J15" s="2"/>
      <c r="K15" s="2"/>
      <c r="L15" s="2" t="str">
        <f>IFERROR(__xludf.DUMMYFUNCTION("""COMPUTED_VALUE"""),"On Status Change")</f>
        <v>On Status Change</v>
      </c>
      <c r="M15" s="2"/>
      <c r="N15" s="2"/>
      <c r="O15" s="2"/>
      <c r="P15" s="2"/>
      <c r="Q15" s="2"/>
      <c r="R15" s="2"/>
      <c r="S15" s="2"/>
      <c r="T15" s="2"/>
      <c r="U15" s="2"/>
      <c r="V15" s="2"/>
      <c r="W15" s="2"/>
      <c r="X15" s="2"/>
      <c r="Y15" s="2"/>
      <c r="Z15" s="2"/>
    </row>
    <row r="16">
      <c r="A16" s="2"/>
      <c r="B16" s="2" t="str">
        <f>IFERROR(__xludf.DUMMYFUNCTION("""COMPUTED_VALUE"""),"Castle Natela's Basement")</f>
        <v>Castle Natela's Basement</v>
      </c>
      <c r="C16" s="2" t="str">
        <f>IFERROR(__xludf.DUMMYFUNCTION("""COMPUTED_VALUE"""),"Yuki Lanford")</f>
        <v>Yuki Lanford</v>
      </c>
      <c r="D16" s="2"/>
      <c r="E16" s="2"/>
      <c r="F16" s="2"/>
      <c r="G16" s="2"/>
      <c r="H16" s="2"/>
      <c r="I16" s="2"/>
      <c r="J16" s="2"/>
      <c r="K16" s="2"/>
      <c r="L16" s="2" t="str">
        <f>IFERROR(__xludf.DUMMYFUNCTION("""COMPUTED_VALUE"""),"On Targeted")</f>
        <v>On Targeted</v>
      </c>
      <c r="M16" s="2"/>
      <c r="N16" s="2"/>
      <c r="O16" s="2"/>
      <c r="P16" s="2"/>
      <c r="Q16" s="2"/>
      <c r="R16" s="2"/>
      <c r="S16" s="2"/>
      <c r="T16" s="2"/>
      <c r="U16" s="2"/>
      <c r="V16" s="2"/>
      <c r="W16" s="2"/>
      <c r="X16" s="2"/>
      <c r="Y16" s="2"/>
      <c r="Z16" s="2"/>
    </row>
    <row r="17">
      <c r="A17" s="2"/>
      <c r="B17" s="2" t="str">
        <f>IFERROR(__xludf.DUMMYFUNCTION("""COMPUTED_VALUE"""),"Weapons Research")</f>
        <v>Weapons Research</v>
      </c>
      <c r="C17" s="2" t="str">
        <f>IFERROR(__xludf.DUMMYFUNCTION("""COMPUTED_VALUE"""),"Gaelrick Quickstep")</f>
        <v>Gaelrick Quickstep</v>
      </c>
      <c r="D17" s="2"/>
      <c r="E17" s="2"/>
      <c r="F17" s="2"/>
      <c r="G17" s="2"/>
      <c r="H17" s="2"/>
      <c r="I17" s="2"/>
      <c r="J17" s="2"/>
      <c r="K17" s="2"/>
      <c r="L17" s="2" t="str">
        <f>IFERROR(__xludf.DUMMYFUNCTION("""COMPUTED_VALUE"""),"On Evade")</f>
        <v>On Evade</v>
      </c>
      <c r="M17" s="2"/>
      <c r="N17" s="2"/>
      <c r="O17" s="2"/>
      <c r="P17" s="2"/>
      <c r="Q17" s="2"/>
      <c r="R17" s="2"/>
      <c r="S17" s="2"/>
      <c r="T17" s="2"/>
      <c r="U17" s="2"/>
      <c r="V17" s="2"/>
      <c r="W17" s="2"/>
      <c r="X17" s="2"/>
      <c r="Y17" s="2"/>
      <c r="Z17" s="2"/>
    </row>
    <row r="18">
      <c r="A18" s="2"/>
      <c r="B18" s="2" t="str">
        <f>IFERROR(__xludf.DUMMYFUNCTION("""COMPUTED_VALUE"""),"Climate Control")</f>
        <v>Climate Control</v>
      </c>
      <c r="C18" s="2" t="str">
        <f>IFERROR(__xludf.DUMMYFUNCTION("""COMPUTED_VALUE"""),"Ryn Claybrow")</f>
        <v>Ryn Claybrow</v>
      </c>
      <c r="D18" s="2"/>
      <c r="E18" s="2"/>
      <c r="F18" s="2"/>
      <c r="G18" s="2"/>
      <c r="H18" s="2"/>
      <c r="I18" s="2"/>
      <c r="J18" s="2"/>
      <c r="K18" s="2"/>
      <c r="L18" s="2" t="str">
        <f>IFERROR(__xludf.DUMMYFUNCTION("""COMPUTED_VALUE"""),"On Death")</f>
        <v>On Death</v>
      </c>
      <c r="M18" s="2"/>
      <c r="N18" s="2"/>
      <c r="O18" s="2"/>
      <c r="P18" s="2"/>
      <c r="Q18" s="2"/>
      <c r="R18" s="2"/>
      <c r="S18" s="2"/>
      <c r="T18" s="2"/>
      <c r="U18" s="2"/>
      <c r="V18" s="2"/>
      <c r="W18" s="2"/>
      <c r="X18" s="2"/>
      <c r="Y18" s="2"/>
      <c r="Z18" s="2"/>
    </row>
    <row r="19">
      <c r="A19" s="2"/>
      <c r="B19" s="2" t="str">
        <f>IFERROR(__xludf.DUMMYFUNCTION("""COMPUTED_VALUE"""),"The Residential District")</f>
        <v>The Residential District</v>
      </c>
      <c r="C19" s="2" t="str">
        <f>IFERROR(__xludf.DUMMYFUNCTION("""COMPUTED_VALUE"""),"Kesta the Antiquarian")</f>
        <v>Kesta the Antiquarian</v>
      </c>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0"/>
    <col customWidth="1" min="2" max="2" width="18.88"/>
    <col customWidth="1" min="3" max="3" width="21.88"/>
    <col customWidth="1" min="4" max="4" width="28.0"/>
    <col customWidth="1" min="5" max="5" width="60.63"/>
    <col customWidth="1" min="6" max="6" width="18.88"/>
  </cols>
  <sheetData>
    <row r="1">
      <c r="A1" s="3" t="s">
        <v>0</v>
      </c>
      <c r="B1" s="3" t="s">
        <v>1</v>
      </c>
      <c r="C1" s="3" t="s">
        <v>2</v>
      </c>
      <c r="D1" s="3" t="s">
        <v>3</v>
      </c>
      <c r="E1" s="4" t="s">
        <v>4</v>
      </c>
      <c r="F1" s="3" t="s">
        <v>5</v>
      </c>
      <c r="G1" s="3" t="s">
        <v>6</v>
      </c>
      <c r="H1" s="5"/>
      <c r="I1" s="5"/>
      <c r="J1" s="5"/>
      <c r="K1" s="5"/>
      <c r="L1" s="5"/>
      <c r="M1" s="5"/>
      <c r="N1" s="5"/>
      <c r="O1" s="5"/>
      <c r="P1" s="5"/>
      <c r="Q1" s="5"/>
      <c r="R1" s="5"/>
      <c r="S1" s="5"/>
      <c r="T1" s="5"/>
      <c r="U1" s="5"/>
      <c r="V1" s="5"/>
      <c r="W1" s="5"/>
      <c r="X1" s="5"/>
      <c r="Y1" s="5"/>
      <c r="Z1" s="5"/>
      <c r="AA1" s="5"/>
      <c r="AB1" s="5"/>
      <c r="AC1" s="5"/>
    </row>
    <row r="2">
      <c r="A2" s="6" t="s">
        <v>7</v>
      </c>
      <c r="B2" s="6" t="s">
        <v>8</v>
      </c>
      <c r="C2" s="6" t="s">
        <v>9</v>
      </c>
      <c r="D2" s="6" t="s">
        <v>10</v>
      </c>
      <c r="E2" s="7" t="s">
        <v>11</v>
      </c>
      <c r="F2" s="6" t="s">
        <v>12</v>
      </c>
      <c r="G2" s="8">
        <v>1.0</v>
      </c>
      <c r="H2" s="6"/>
      <c r="I2" s="6"/>
      <c r="J2" s="6"/>
      <c r="K2" s="6"/>
      <c r="L2" s="6"/>
      <c r="M2" s="6"/>
      <c r="N2" s="6"/>
      <c r="O2" s="6"/>
      <c r="P2" s="6"/>
      <c r="Q2" s="6"/>
      <c r="R2" s="6"/>
      <c r="S2" s="6"/>
      <c r="T2" s="6"/>
      <c r="U2" s="6"/>
      <c r="V2" s="6"/>
      <c r="W2" s="6"/>
      <c r="X2" s="6"/>
      <c r="Y2" s="6"/>
      <c r="Z2" s="6"/>
      <c r="AA2" s="6"/>
      <c r="AB2" s="6"/>
      <c r="AC2" s="6"/>
    </row>
    <row r="3">
      <c r="A3" s="6" t="s">
        <v>13</v>
      </c>
      <c r="B3" s="6" t="s">
        <v>8</v>
      </c>
      <c r="C3" s="6" t="s">
        <v>9</v>
      </c>
      <c r="D3" s="6" t="s">
        <v>10</v>
      </c>
      <c r="E3" s="7" t="s">
        <v>14</v>
      </c>
      <c r="F3" s="6" t="s">
        <v>15</v>
      </c>
      <c r="G3" s="8">
        <v>2.0</v>
      </c>
      <c r="H3" s="6"/>
      <c r="I3" s="6"/>
      <c r="J3" s="6"/>
      <c r="K3" s="6"/>
      <c r="L3" s="6"/>
      <c r="M3" s="6"/>
      <c r="N3" s="6"/>
      <c r="O3" s="6"/>
      <c r="P3" s="6"/>
      <c r="Q3" s="6"/>
      <c r="R3" s="6"/>
      <c r="S3" s="6"/>
      <c r="T3" s="6"/>
      <c r="U3" s="6"/>
      <c r="V3" s="6"/>
      <c r="W3" s="6"/>
      <c r="X3" s="6"/>
      <c r="Y3" s="6"/>
      <c r="Z3" s="6"/>
      <c r="AA3" s="6"/>
      <c r="AB3" s="6"/>
      <c r="AC3" s="6"/>
    </row>
    <row r="4">
      <c r="A4" s="6" t="s">
        <v>16</v>
      </c>
      <c r="B4" s="6" t="s">
        <v>8</v>
      </c>
      <c r="C4" s="6" t="s">
        <v>9</v>
      </c>
      <c r="D4" s="6" t="s">
        <v>10</v>
      </c>
      <c r="E4" s="7" t="s">
        <v>17</v>
      </c>
      <c r="F4" s="6" t="s">
        <v>18</v>
      </c>
      <c r="G4" s="8">
        <v>3.0</v>
      </c>
      <c r="H4" s="6"/>
      <c r="I4" s="6"/>
      <c r="J4" s="6"/>
      <c r="K4" s="6"/>
      <c r="L4" s="6"/>
      <c r="M4" s="6"/>
      <c r="N4" s="6"/>
      <c r="O4" s="6"/>
      <c r="P4" s="6"/>
      <c r="Q4" s="6"/>
      <c r="R4" s="6"/>
      <c r="S4" s="6"/>
      <c r="T4" s="6"/>
      <c r="U4" s="6"/>
      <c r="V4" s="6"/>
      <c r="W4" s="6"/>
      <c r="X4" s="6"/>
      <c r="Y4" s="6"/>
      <c r="Z4" s="6"/>
      <c r="AA4" s="6"/>
      <c r="AB4" s="6"/>
      <c r="AC4" s="6"/>
    </row>
    <row r="5">
      <c r="A5" s="6" t="s">
        <v>19</v>
      </c>
      <c r="B5" s="6" t="s">
        <v>8</v>
      </c>
      <c r="C5" s="6" t="s">
        <v>20</v>
      </c>
      <c r="D5" s="6" t="s">
        <v>21</v>
      </c>
      <c r="E5" s="7" t="s">
        <v>22</v>
      </c>
      <c r="F5" s="6" t="s">
        <v>23</v>
      </c>
      <c r="G5" s="8">
        <v>1.0</v>
      </c>
      <c r="H5" s="6"/>
      <c r="I5" s="6"/>
      <c r="J5" s="6"/>
      <c r="K5" s="6"/>
      <c r="L5" s="6"/>
      <c r="M5" s="6"/>
      <c r="N5" s="6"/>
      <c r="O5" s="6"/>
      <c r="P5" s="6"/>
      <c r="Q5" s="6"/>
      <c r="R5" s="6"/>
      <c r="S5" s="6"/>
      <c r="T5" s="6"/>
      <c r="U5" s="6"/>
      <c r="V5" s="6"/>
      <c r="W5" s="6"/>
      <c r="X5" s="6"/>
      <c r="Y5" s="6"/>
      <c r="Z5" s="6"/>
      <c r="AA5" s="6"/>
      <c r="AB5" s="6"/>
      <c r="AC5" s="6"/>
    </row>
    <row r="6">
      <c r="A6" s="9"/>
      <c r="B6" s="6" t="s">
        <v>8</v>
      </c>
      <c r="C6" s="6" t="s">
        <v>20</v>
      </c>
      <c r="D6" s="6" t="s">
        <v>21</v>
      </c>
      <c r="E6" s="7" t="s">
        <v>24</v>
      </c>
      <c r="F6" s="6" t="s">
        <v>25</v>
      </c>
      <c r="G6" s="8">
        <v>2.0</v>
      </c>
      <c r="H6" s="6"/>
      <c r="I6" s="6"/>
      <c r="J6" s="6"/>
      <c r="K6" s="6"/>
      <c r="L6" s="6"/>
      <c r="M6" s="6"/>
      <c r="N6" s="6"/>
      <c r="O6" s="6"/>
      <c r="P6" s="6"/>
      <c r="Q6" s="6"/>
      <c r="R6" s="6"/>
      <c r="S6" s="6"/>
      <c r="T6" s="6"/>
      <c r="U6" s="6"/>
      <c r="V6" s="6"/>
      <c r="W6" s="6"/>
      <c r="X6" s="6"/>
      <c r="Y6" s="6"/>
      <c r="Z6" s="6"/>
      <c r="AA6" s="6"/>
      <c r="AB6" s="6"/>
      <c r="AC6" s="6"/>
    </row>
    <row r="7">
      <c r="A7" s="9"/>
      <c r="B7" s="6" t="s">
        <v>8</v>
      </c>
      <c r="C7" s="6" t="s">
        <v>20</v>
      </c>
      <c r="D7" s="6" t="s">
        <v>21</v>
      </c>
      <c r="E7" s="9"/>
      <c r="F7" s="9"/>
      <c r="G7" s="8">
        <v>3.0</v>
      </c>
      <c r="H7" s="6"/>
      <c r="I7" s="6"/>
      <c r="J7" s="6"/>
      <c r="K7" s="6"/>
      <c r="L7" s="6"/>
      <c r="M7" s="6"/>
      <c r="N7" s="6"/>
      <c r="O7" s="6"/>
      <c r="P7" s="6"/>
      <c r="Q7" s="6"/>
      <c r="R7" s="6"/>
      <c r="S7" s="6"/>
      <c r="T7" s="6"/>
      <c r="U7" s="6"/>
      <c r="V7" s="6"/>
      <c r="W7" s="6"/>
      <c r="X7" s="6"/>
      <c r="Y7" s="6"/>
      <c r="Z7" s="6"/>
      <c r="AA7" s="6"/>
      <c r="AB7" s="6"/>
      <c r="AC7" s="6"/>
    </row>
    <row r="8">
      <c r="A8" s="8" t="s">
        <v>26</v>
      </c>
      <c r="B8" s="6" t="s">
        <v>8</v>
      </c>
      <c r="C8" s="6" t="s">
        <v>27</v>
      </c>
      <c r="D8" s="6" t="s">
        <v>28</v>
      </c>
      <c r="E8" s="7" t="s">
        <v>29</v>
      </c>
      <c r="F8" s="6" t="s">
        <v>30</v>
      </c>
      <c r="G8" s="8">
        <v>1.0</v>
      </c>
      <c r="H8" s="6"/>
      <c r="I8" s="6"/>
      <c r="J8" s="6"/>
      <c r="K8" s="6"/>
      <c r="L8" s="6"/>
      <c r="M8" s="6"/>
      <c r="N8" s="6"/>
      <c r="O8" s="6"/>
      <c r="P8" s="6"/>
      <c r="Q8" s="6"/>
      <c r="R8" s="6"/>
      <c r="S8" s="6"/>
      <c r="T8" s="6"/>
      <c r="U8" s="6"/>
      <c r="V8" s="6"/>
      <c r="W8" s="6"/>
      <c r="X8" s="6"/>
      <c r="Y8" s="6"/>
      <c r="Z8" s="6"/>
      <c r="AA8" s="6"/>
      <c r="AB8" s="6"/>
      <c r="AC8" s="6"/>
    </row>
    <row r="9">
      <c r="A9" s="6" t="s">
        <v>31</v>
      </c>
      <c r="B9" s="6" t="s">
        <v>8</v>
      </c>
      <c r="C9" s="6" t="s">
        <v>27</v>
      </c>
      <c r="D9" s="6" t="s">
        <v>28</v>
      </c>
      <c r="E9" s="7" t="s">
        <v>32</v>
      </c>
      <c r="F9" s="6" t="s">
        <v>33</v>
      </c>
      <c r="G9" s="8">
        <v>2.0</v>
      </c>
      <c r="H9" s="6"/>
      <c r="I9" s="6"/>
      <c r="J9" s="6"/>
      <c r="K9" s="6"/>
      <c r="L9" s="6"/>
      <c r="M9" s="6"/>
      <c r="N9" s="6"/>
      <c r="O9" s="6"/>
      <c r="P9" s="6"/>
      <c r="Q9" s="6"/>
      <c r="R9" s="6"/>
      <c r="S9" s="6"/>
      <c r="T9" s="6"/>
      <c r="U9" s="6"/>
      <c r="V9" s="6"/>
      <c r="W9" s="6"/>
      <c r="X9" s="6"/>
      <c r="Y9" s="6"/>
      <c r="Z9" s="6"/>
      <c r="AA9" s="6"/>
      <c r="AB9" s="6"/>
      <c r="AC9" s="6"/>
    </row>
    <row r="10">
      <c r="A10" s="9"/>
      <c r="B10" s="6" t="s">
        <v>8</v>
      </c>
      <c r="C10" s="6" t="s">
        <v>27</v>
      </c>
      <c r="D10" s="6" t="s">
        <v>28</v>
      </c>
      <c r="E10" s="9"/>
      <c r="F10" s="9"/>
      <c r="G10" s="8">
        <v>3.0</v>
      </c>
      <c r="H10" s="6"/>
      <c r="I10" s="6"/>
      <c r="J10" s="6"/>
      <c r="K10" s="6"/>
      <c r="L10" s="6"/>
      <c r="M10" s="6"/>
      <c r="N10" s="6"/>
      <c r="O10" s="6"/>
      <c r="P10" s="6"/>
      <c r="Q10" s="6"/>
      <c r="R10" s="6"/>
      <c r="S10" s="6"/>
      <c r="T10" s="6"/>
      <c r="U10" s="6"/>
      <c r="V10" s="6"/>
      <c r="W10" s="6"/>
      <c r="X10" s="6"/>
      <c r="Y10" s="6"/>
      <c r="Z10" s="6"/>
      <c r="AA10" s="6"/>
      <c r="AB10" s="6"/>
      <c r="AC10" s="6"/>
    </row>
    <row r="11">
      <c r="A11" s="9"/>
      <c r="B11" s="6" t="s">
        <v>34</v>
      </c>
      <c r="C11" s="6" t="s">
        <v>35</v>
      </c>
      <c r="D11" s="6" t="s">
        <v>36</v>
      </c>
      <c r="E11" s="9"/>
      <c r="F11" s="9"/>
      <c r="G11" s="8">
        <v>1.0</v>
      </c>
      <c r="H11" s="6"/>
      <c r="I11" s="6"/>
      <c r="J11" s="6"/>
      <c r="K11" s="6"/>
      <c r="L11" s="6"/>
      <c r="M11" s="6"/>
      <c r="N11" s="6"/>
      <c r="O11" s="6"/>
      <c r="P11" s="6"/>
      <c r="Q11" s="6"/>
      <c r="R11" s="6"/>
      <c r="S11" s="6"/>
      <c r="T11" s="6"/>
      <c r="U11" s="6"/>
      <c r="V11" s="6"/>
      <c r="W11" s="6"/>
      <c r="X11" s="6"/>
      <c r="Y11" s="6"/>
      <c r="Z11" s="6"/>
      <c r="AA11" s="6"/>
      <c r="AB11" s="6"/>
      <c r="AC11" s="6"/>
    </row>
    <row r="12">
      <c r="A12" s="9"/>
      <c r="B12" s="6" t="s">
        <v>34</v>
      </c>
      <c r="C12" s="6" t="s">
        <v>35</v>
      </c>
      <c r="D12" s="6" t="s">
        <v>36</v>
      </c>
      <c r="E12" s="9"/>
      <c r="F12" s="9"/>
      <c r="G12" s="8">
        <v>2.0</v>
      </c>
      <c r="H12" s="6"/>
      <c r="I12" s="6"/>
      <c r="J12" s="6"/>
      <c r="K12" s="6"/>
      <c r="L12" s="6"/>
      <c r="M12" s="6"/>
      <c r="N12" s="6"/>
      <c r="O12" s="6"/>
      <c r="P12" s="6"/>
      <c r="Q12" s="6"/>
      <c r="R12" s="6"/>
      <c r="S12" s="6"/>
      <c r="T12" s="6"/>
      <c r="U12" s="6"/>
      <c r="V12" s="6"/>
      <c r="W12" s="6"/>
      <c r="X12" s="6"/>
      <c r="Y12" s="6"/>
      <c r="Z12" s="6"/>
      <c r="AA12" s="6"/>
      <c r="AB12" s="6"/>
      <c r="AC12" s="6"/>
    </row>
    <row r="13">
      <c r="A13" s="9"/>
      <c r="B13" s="6" t="s">
        <v>34</v>
      </c>
      <c r="C13" s="6" t="s">
        <v>35</v>
      </c>
      <c r="D13" s="6" t="s">
        <v>36</v>
      </c>
      <c r="E13" s="9"/>
      <c r="F13" s="9"/>
      <c r="G13" s="8">
        <v>3.0</v>
      </c>
      <c r="H13" s="6"/>
      <c r="I13" s="6"/>
      <c r="J13" s="6"/>
      <c r="K13" s="6"/>
      <c r="L13" s="6"/>
      <c r="M13" s="6"/>
      <c r="N13" s="6"/>
      <c r="O13" s="6"/>
      <c r="P13" s="6"/>
      <c r="Q13" s="6"/>
      <c r="R13" s="6"/>
      <c r="S13" s="6"/>
      <c r="T13" s="6"/>
      <c r="U13" s="6"/>
      <c r="V13" s="6"/>
      <c r="W13" s="6"/>
      <c r="X13" s="6"/>
      <c r="Y13" s="6"/>
      <c r="Z13" s="6"/>
      <c r="AA13" s="6"/>
      <c r="AB13" s="6"/>
      <c r="AC13" s="6"/>
    </row>
    <row r="14">
      <c r="A14" s="9"/>
      <c r="B14" s="6" t="s">
        <v>34</v>
      </c>
      <c r="C14" s="6" t="s">
        <v>37</v>
      </c>
      <c r="D14" s="6" t="s">
        <v>38</v>
      </c>
      <c r="E14" s="9"/>
      <c r="F14" s="9"/>
      <c r="G14" s="8">
        <v>1.0</v>
      </c>
      <c r="H14" s="6"/>
      <c r="I14" s="6"/>
      <c r="J14" s="6"/>
      <c r="K14" s="6"/>
      <c r="L14" s="6"/>
      <c r="M14" s="6"/>
      <c r="N14" s="6"/>
      <c r="O14" s="6"/>
      <c r="P14" s="6"/>
      <c r="Q14" s="6"/>
      <c r="R14" s="6"/>
      <c r="S14" s="6"/>
      <c r="T14" s="6"/>
      <c r="U14" s="6"/>
      <c r="V14" s="6"/>
      <c r="W14" s="6"/>
      <c r="X14" s="6"/>
      <c r="Y14" s="6"/>
      <c r="Z14" s="6"/>
      <c r="AA14" s="6"/>
      <c r="AB14" s="6"/>
      <c r="AC14" s="6"/>
    </row>
    <row r="15">
      <c r="A15" s="9"/>
      <c r="B15" s="6" t="s">
        <v>34</v>
      </c>
      <c r="C15" s="6" t="s">
        <v>37</v>
      </c>
      <c r="D15" s="6" t="s">
        <v>38</v>
      </c>
      <c r="E15" s="9"/>
      <c r="F15" s="9"/>
      <c r="G15" s="8">
        <v>2.0</v>
      </c>
      <c r="H15" s="6"/>
      <c r="I15" s="6"/>
      <c r="J15" s="6"/>
      <c r="K15" s="6"/>
      <c r="L15" s="6"/>
      <c r="M15" s="6"/>
      <c r="N15" s="6"/>
      <c r="O15" s="6"/>
      <c r="P15" s="6"/>
      <c r="Q15" s="6"/>
      <c r="R15" s="6"/>
      <c r="S15" s="6"/>
      <c r="T15" s="6"/>
      <c r="U15" s="6"/>
      <c r="V15" s="6"/>
      <c r="W15" s="6"/>
      <c r="X15" s="6"/>
      <c r="Y15" s="6"/>
      <c r="Z15" s="6"/>
      <c r="AA15" s="6"/>
      <c r="AB15" s="6"/>
      <c r="AC15" s="6"/>
    </row>
    <row r="16">
      <c r="A16" s="9"/>
      <c r="B16" s="6" t="s">
        <v>34</v>
      </c>
      <c r="C16" s="6" t="s">
        <v>37</v>
      </c>
      <c r="D16" s="6" t="s">
        <v>38</v>
      </c>
      <c r="E16" s="9"/>
      <c r="F16" s="9"/>
      <c r="G16" s="8">
        <v>3.0</v>
      </c>
      <c r="H16" s="6"/>
      <c r="I16" s="6"/>
      <c r="J16" s="6"/>
      <c r="K16" s="6"/>
      <c r="L16" s="6"/>
      <c r="M16" s="6"/>
      <c r="N16" s="6"/>
      <c r="O16" s="6"/>
      <c r="P16" s="6"/>
      <c r="Q16" s="6"/>
      <c r="R16" s="6"/>
      <c r="S16" s="6"/>
      <c r="T16" s="6"/>
      <c r="U16" s="6"/>
      <c r="V16" s="6"/>
      <c r="W16" s="6"/>
      <c r="X16" s="6"/>
      <c r="Y16" s="6"/>
      <c r="Z16" s="6"/>
      <c r="AA16" s="6"/>
      <c r="AB16" s="6"/>
      <c r="AC16" s="6"/>
    </row>
    <row r="17">
      <c r="A17" s="9"/>
      <c r="B17" s="6" t="s">
        <v>34</v>
      </c>
      <c r="C17" s="6" t="s">
        <v>39</v>
      </c>
      <c r="D17" s="6" t="s">
        <v>40</v>
      </c>
      <c r="E17" s="9"/>
      <c r="F17" s="9"/>
      <c r="G17" s="8">
        <v>1.0</v>
      </c>
      <c r="H17" s="6"/>
      <c r="I17" s="6"/>
      <c r="J17" s="6"/>
      <c r="K17" s="6"/>
      <c r="L17" s="6"/>
      <c r="M17" s="6"/>
      <c r="N17" s="6"/>
      <c r="O17" s="6"/>
      <c r="P17" s="6"/>
      <c r="Q17" s="6"/>
      <c r="R17" s="6"/>
      <c r="S17" s="6"/>
      <c r="T17" s="6"/>
      <c r="U17" s="6"/>
      <c r="V17" s="6"/>
      <c r="W17" s="6"/>
      <c r="X17" s="6"/>
      <c r="Y17" s="6"/>
      <c r="Z17" s="6"/>
      <c r="AA17" s="6"/>
      <c r="AB17" s="6"/>
      <c r="AC17" s="6"/>
    </row>
    <row r="18">
      <c r="A18" s="9"/>
      <c r="B18" s="6" t="s">
        <v>34</v>
      </c>
      <c r="C18" s="6" t="s">
        <v>39</v>
      </c>
      <c r="D18" s="6" t="s">
        <v>40</v>
      </c>
      <c r="E18" s="9"/>
      <c r="F18" s="9"/>
      <c r="G18" s="8">
        <v>2.0</v>
      </c>
      <c r="H18" s="6"/>
      <c r="I18" s="6"/>
      <c r="J18" s="6"/>
      <c r="K18" s="6"/>
      <c r="L18" s="6"/>
      <c r="M18" s="6"/>
      <c r="N18" s="6"/>
      <c r="O18" s="6"/>
      <c r="P18" s="6"/>
      <c r="Q18" s="6"/>
      <c r="R18" s="6"/>
      <c r="S18" s="6"/>
      <c r="T18" s="6"/>
      <c r="U18" s="6"/>
      <c r="V18" s="6"/>
      <c r="W18" s="6"/>
      <c r="X18" s="6"/>
      <c r="Y18" s="6"/>
      <c r="Z18" s="6"/>
      <c r="AA18" s="6"/>
      <c r="AB18" s="6"/>
      <c r="AC18" s="6"/>
    </row>
    <row r="19">
      <c r="A19" s="9"/>
      <c r="B19" s="6" t="s">
        <v>34</v>
      </c>
      <c r="C19" s="6" t="s">
        <v>39</v>
      </c>
      <c r="D19" s="6" t="s">
        <v>40</v>
      </c>
      <c r="E19" s="9"/>
      <c r="F19" s="9"/>
      <c r="G19" s="8">
        <v>3.0</v>
      </c>
      <c r="H19" s="6"/>
      <c r="I19" s="6"/>
      <c r="J19" s="6"/>
      <c r="K19" s="6"/>
      <c r="L19" s="6"/>
      <c r="M19" s="6"/>
      <c r="N19" s="6"/>
      <c r="O19" s="6"/>
      <c r="P19" s="6"/>
      <c r="Q19" s="6"/>
      <c r="R19" s="6"/>
      <c r="S19" s="6"/>
      <c r="T19" s="6"/>
      <c r="U19" s="6"/>
      <c r="V19" s="6"/>
      <c r="W19" s="6"/>
      <c r="X19" s="6"/>
      <c r="Y19" s="6"/>
      <c r="Z19" s="6"/>
      <c r="AA19" s="6"/>
      <c r="AB19" s="6"/>
      <c r="AC19" s="6"/>
    </row>
    <row r="20">
      <c r="A20" s="8" t="s">
        <v>41</v>
      </c>
      <c r="B20" s="6" t="s">
        <v>42</v>
      </c>
      <c r="C20" s="7" t="s">
        <v>43</v>
      </c>
      <c r="D20" s="6" t="s">
        <v>44</v>
      </c>
      <c r="E20" s="7" t="s">
        <v>45</v>
      </c>
      <c r="F20" s="6" t="s">
        <v>46</v>
      </c>
      <c r="G20" s="8">
        <v>1.0</v>
      </c>
      <c r="H20" s="6"/>
      <c r="I20" s="6"/>
      <c r="J20" s="6"/>
      <c r="K20" s="6"/>
      <c r="L20" s="6"/>
      <c r="M20" s="6"/>
      <c r="N20" s="6"/>
      <c r="O20" s="6"/>
      <c r="P20" s="6"/>
      <c r="Q20" s="6"/>
      <c r="R20" s="6"/>
      <c r="S20" s="6"/>
      <c r="T20" s="6"/>
      <c r="U20" s="6"/>
      <c r="V20" s="6"/>
      <c r="W20" s="6"/>
      <c r="X20" s="6"/>
      <c r="Y20" s="6"/>
      <c r="Z20" s="6"/>
      <c r="AA20" s="6"/>
      <c r="AB20" s="6"/>
      <c r="AC20" s="6"/>
    </row>
    <row r="21">
      <c r="A21" s="8" t="s">
        <v>47</v>
      </c>
      <c r="B21" s="6" t="s">
        <v>42</v>
      </c>
      <c r="C21" s="7" t="s">
        <v>43</v>
      </c>
      <c r="D21" s="6" t="s">
        <v>44</v>
      </c>
      <c r="E21" s="7" t="s">
        <v>48</v>
      </c>
      <c r="F21" s="6" t="s">
        <v>49</v>
      </c>
      <c r="G21" s="8">
        <v>2.0</v>
      </c>
      <c r="H21" s="6"/>
      <c r="I21" s="6"/>
      <c r="J21" s="6"/>
      <c r="K21" s="6"/>
      <c r="L21" s="6"/>
      <c r="M21" s="6"/>
      <c r="N21" s="6"/>
      <c r="O21" s="6"/>
      <c r="P21" s="6"/>
      <c r="Q21" s="6"/>
      <c r="R21" s="6"/>
      <c r="S21" s="6"/>
      <c r="T21" s="6"/>
      <c r="U21" s="6"/>
      <c r="V21" s="6"/>
      <c r="W21" s="6"/>
      <c r="X21" s="6"/>
      <c r="Y21" s="6"/>
      <c r="Z21" s="6"/>
      <c r="AA21" s="6"/>
      <c r="AB21" s="6"/>
      <c r="AC21" s="6"/>
    </row>
    <row r="22">
      <c r="A22" s="9"/>
      <c r="B22" s="6" t="s">
        <v>42</v>
      </c>
      <c r="C22" s="7" t="s">
        <v>43</v>
      </c>
      <c r="D22" s="6" t="s">
        <v>44</v>
      </c>
      <c r="E22" s="9"/>
      <c r="F22" s="9"/>
      <c r="G22" s="8">
        <v>3.0</v>
      </c>
      <c r="H22" s="6"/>
      <c r="I22" s="6"/>
      <c r="J22" s="6"/>
      <c r="K22" s="6"/>
      <c r="L22" s="6"/>
      <c r="M22" s="6"/>
      <c r="N22" s="6"/>
      <c r="O22" s="6"/>
      <c r="P22" s="6"/>
      <c r="Q22" s="6"/>
      <c r="R22" s="6"/>
      <c r="S22" s="6"/>
      <c r="T22" s="6"/>
      <c r="U22" s="6"/>
      <c r="V22" s="6"/>
      <c r="W22" s="6"/>
      <c r="X22" s="6"/>
      <c r="Y22" s="6"/>
      <c r="Z22" s="6"/>
      <c r="AA22" s="6"/>
      <c r="AB22" s="6"/>
      <c r="AC22" s="6"/>
    </row>
    <row r="23">
      <c r="A23" s="9"/>
      <c r="B23" s="6" t="s">
        <v>42</v>
      </c>
      <c r="C23" s="6" t="s">
        <v>50</v>
      </c>
      <c r="D23" s="6" t="s">
        <v>51</v>
      </c>
      <c r="E23" s="7" t="s">
        <v>52</v>
      </c>
      <c r="F23" s="6" t="s">
        <v>53</v>
      </c>
      <c r="G23" s="8">
        <v>1.0</v>
      </c>
      <c r="H23" s="6"/>
      <c r="I23" s="6"/>
      <c r="J23" s="6"/>
      <c r="K23" s="6"/>
      <c r="L23" s="6"/>
      <c r="M23" s="6"/>
      <c r="N23" s="6"/>
      <c r="O23" s="6"/>
      <c r="P23" s="6"/>
      <c r="Q23" s="6"/>
      <c r="R23" s="6"/>
      <c r="S23" s="6"/>
      <c r="T23" s="6"/>
      <c r="U23" s="6"/>
      <c r="V23" s="6"/>
      <c r="W23" s="6"/>
      <c r="X23" s="6"/>
      <c r="Y23" s="6"/>
      <c r="Z23" s="6"/>
      <c r="AA23" s="6"/>
      <c r="AB23" s="6"/>
      <c r="AC23" s="6"/>
    </row>
    <row r="24">
      <c r="A24" s="9"/>
      <c r="B24" s="6" t="s">
        <v>42</v>
      </c>
      <c r="C24" s="6" t="s">
        <v>50</v>
      </c>
      <c r="D24" s="6" t="s">
        <v>51</v>
      </c>
      <c r="E24" s="7" t="s">
        <v>54</v>
      </c>
      <c r="F24" s="6" t="s">
        <v>55</v>
      </c>
      <c r="G24" s="8">
        <v>2.0</v>
      </c>
      <c r="H24" s="6"/>
      <c r="I24" s="6"/>
      <c r="J24" s="6"/>
      <c r="K24" s="6"/>
      <c r="L24" s="6"/>
      <c r="M24" s="6"/>
      <c r="N24" s="6"/>
      <c r="O24" s="6"/>
      <c r="P24" s="6"/>
      <c r="Q24" s="6"/>
      <c r="R24" s="6"/>
      <c r="S24" s="6"/>
      <c r="T24" s="6"/>
      <c r="U24" s="6"/>
      <c r="V24" s="6"/>
      <c r="W24" s="6"/>
      <c r="X24" s="6"/>
      <c r="Y24" s="6"/>
      <c r="Z24" s="6"/>
      <c r="AA24" s="6"/>
      <c r="AB24" s="6"/>
      <c r="AC24" s="6"/>
    </row>
    <row r="25">
      <c r="A25" s="9"/>
      <c r="B25" s="6" t="s">
        <v>42</v>
      </c>
      <c r="C25" s="6" t="s">
        <v>50</v>
      </c>
      <c r="D25" s="6" t="s">
        <v>51</v>
      </c>
      <c r="E25" s="9"/>
      <c r="F25" s="9"/>
      <c r="G25" s="8">
        <v>3.0</v>
      </c>
      <c r="H25" s="6"/>
      <c r="I25" s="6"/>
      <c r="J25" s="6"/>
      <c r="K25" s="6"/>
      <c r="L25" s="6"/>
      <c r="M25" s="6"/>
      <c r="N25" s="6"/>
      <c r="O25" s="6"/>
      <c r="P25" s="6"/>
      <c r="Q25" s="6"/>
      <c r="R25" s="6"/>
      <c r="S25" s="6"/>
      <c r="T25" s="6"/>
      <c r="U25" s="6"/>
      <c r="V25" s="6"/>
      <c r="W25" s="6"/>
      <c r="X25" s="6"/>
      <c r="Y25" s="6"/>
      <c r="Z25" s="6"/>
      <c r="AA25" s="6"/>
      <c r="AB25" s="6"/>
      <c r="AC25" s="6"/>
    </row>
    <row r="26">
      <c r="A26" s="9"/>
      <c r="B26" s="6" t="s">
        <v>42</v>
      </c>
      <c r="C26" s="8" t="s">
        <v>56</v>
      </c>
      <c r="D26" s="6" t="s">
        <v>57</v>
      </c>
      <c r="E26" s="9"/>
      <c r="F26" s="9"/>
      <c r="G26" s="8">
        <v>1.0</v>
      </c>
      <c r="H26" s="6"/>
      <c r="I26" s="6"/>
      <c r="J26" s="6"/>
      <c r="K26" s="6"/>
      <c r="L26" s="6"/>
      <c r="M26" s="6"/>
      <c r="N26" s="6"/>
      <c r="O26" s="6"/>
      <c r="P26" s="6"/>
      <c r="Q26" s="6"/>
      <c r="R26" s="6"/>
      <c r="S26" s="6"/>
      <c r="T26" s="6"/>
      <c r="U26" s="6"/>
      <c r="V26" s="6"/>
      <c r="W26" s="6"/>
      <c r="X26" s="6"/>
      <c r="Y26" s="6"/>
      <c r="Z26" s="6"/>
      <c r="AA26" s="6"/>
      <c r="AB26" s="6"/>
      <c r="AC26" s="6"/>
    </row>
    <row r="27">
      <c r="A27" s="9"/>
      <c r="B27" s="6" t="s">
        <v>42</v>
      </c>
      <c r="C27" s="8" t="s">
        <v>56</v>
      </c>
      <c r="D27" s="6" t="s">
        <v>57</v>
      </c>
      <c r="E27" s="9"/>
      <c r="F27" s="9"/>
      <c r="G27" s="8">
        <v>2.0</v>
      </c>
      <c r="H27" s="6"/>
      <c r="I27" s="6"/>
      <c r="J27" s="6"/>
      <c r="K27" s="6"/>
      <c r="L27" s="6"/>
      <c r="M27" s="6"/>
      <c r="N27" s="6"/>
      <c r="O27" s="6"/>
      <c r="P27" s="6"/>
      <c r="Q27" s="6"/>
      <c r="R27" s="6"/>
      <c r="S27" s="6"/>
      <c r="T27" s="6"/>
      <c r="U27" s="6"/>
      <c r="V27" s="6"/>
      <c r="W27" s="6"/>
      <c r="X27" s="6"/>
      <c r="Y27" s="6"/>
      <c r="Z27" s="6"/>
      <c r="AA27" s="6"/>
      <c r="AB27" s="6"/>
      <c r="AC27" s="6"/>
    </row>
    <row r="28">
      <c r="A28" s="9"/>
      <c r="B28" s="6" t="s">
        <v>42</v>
      </c>
      <c r="C28" s="8" t="s">
        <v>56</v>
      </c>
      <c r="D28" s="6" t="s">
        <v>57</v>
      </c>
      <c r="E28" s="9"/>
      <c r="F28" s="9"/>
      <c r="G28" s="8">
        <v>3.0</v>
      </c>
      <c r="H28" s="6"/>
      <c r="I28" s="6"/>
      <c r="J28" s="6"/>
      <c r="K28" s="6"/>
      <c r="L28" s="6"/>
      <c r="M28" s="6"/>
      <c r="N28" s="6"/>
      <c r="O28" s="6"/>
      <c r="P28" s="6"/>
      <c r="Q28" s="6"/>
      <c r="R28" s="6"/>
      <c r="S28" s="6"/>
      <c r="T28" s="6"/>
      <c r="U28" s="6"/>
      <c r="V28" s="6"/>
      <c r="W28" s="6"/>
      <c r="X28" s="6"/>
      <c r="Y28" s="6"/>
      <c r="Z28" s="6"/>
      <c r="AA28" s="6"/>
      <c r="AB28" s="6"/>
      <c r="AC28" s="6"/>
    </row>
    <row r="29">
      <c r="A29" s="9"/>
      <c r="B29" s="6" t="s">
        <v>58</v>
      </c>
      <c r="C29" s="6" t="s">
        <v>59</v>
      </c>
      <c r="D29" s="6" t="s">
        <v>60</v>
      </c>
      <c r="E29" s="7" t="s">
        <v>61</v>
      </c>
      <c r="F29" s="6" t="s">
        <v>62</v>
      </c>
      <c r="G29" s="8">
        <v>1.0</v>
      </c>
      <c r="H29" s="6"/>
      <c r="I29" s="6"/>
      <c r="J29" s="6"/>
      <c r="K29" s="6"/>
      <c r="L29" s="6"/>
      <c r="M29" s="6"/>
      <c r="N29" s="6"/>
      <c r="O29" s="6"/>
      <c r="P29" s="6"/>
      <c r="Q29" s="6"/>
      <c r="R29" s="6"/>
      <c r="S29" s="6"/>
      <c r="T29" s="6"/>
      <c r="U29" s="6"/>
      <c r="V29" s="6"/>
      <c r="W29" s="6"/>
      <c r="X29" s="6"/>
      <c r="Y29" s="6"/>
      <c r="Z29" s="6"/>
      <c r="AA29" s="6"/>
      <c r="AB29" s="6"/>
      <c r="AC29" s="6"/>
    </row>
    <row r="30">
      <c r="A30" s="9"/>
      <c r="B30" s="6" t="s">
        <v>58</v>
      </c>
      <c r="C30" s="6" t="s">
        <v>59</v>
      </c>
      <c r="D30" s="6" t="s">
        <v>60</v>
      </c>
      <c r="E30" s="9"/>
      <c r="F30" s="9"/>
      <c r="G30" s="8">
        <v>2.0</v>
      </c>
      <c r="H30" s="6"/>
      <c r="I30" s="6"/>
      <c r="J30" s="6"/>
      <c r="K30" s="6"/>
      <c r="L30" s="6"/>
      <c r="M30" s="6"/>
      <c r="N30" s="6"/>
      <c r="O30" s="6"/>
      <c r="P30" s="6"/>
      <c r="Q30" s="6"/>
      <c r="R30" s="6"/>
      <c r="S30" s="6"/>
      <c r="T30" s="6"/>
      <c r="U30" s="6"/>
      <c r="V30" s="6"/>
      <c r="W30" s="6"/>
      <c r="X30" s="6"/>
      <c r="Y30" s="6"/>
      <c r="Z30" s="6"/>
      <c r="AA30" s="6"/>
      <c r="AB30" s="6"/>
      <c r="AC30" s="6"/>
    </row>
    <row r="31">
      <c r="A31" s="9"/>
      <c r="B31" s="6" t="s">
        <v>58</v>
      </c>
      <c r="C31" s="6" t="s">
        <v>59</v>
      </c>
      <c r="D31" s="6" t="s">
        <v>60</v>
      </c>
      <c r="E31" s="9"/>
      <c r="F31" s="9"/>
      <c r="G31" s="8">
        <v>3.0</v>
      </c>
      <c r="H31" s="6"/>
      <c r="I31" s="6"/>
      <c r="J31" s="6"/>
      <c r="K31" s="6"/>
      <c r="L31" s="6"/>
      <c r="M31" s="6"/>
      <c r="N31" s="6"/>
      <c r="O31" s="6"/>
      <c r="P31" s="6"/>
      <c r="Q31" s="6"/>
      <c r="R31" s="6"/>
      <c r="S31" s="6"/>
      <c r="T31" s="6"/>
      <c r="U31" s="6"/>
      <c r="V31" s="6"/>
      <c r="W31" s="6"/>
      <c r="X31" s="6"/>
      <c r="Y31" s="6"/>
      <c r="Z31" s="6"/>
      <c r="AA31" s="6"/>
      <c r="AB31" s="6"/>
      <c r="AC31" s="6"/>
    </row>
    <row r="32">
      <c r="A32" s="9"/>
      <c r="B32" s="6" t="s">
        <v>58</v>
      </c>
      <c r="C32" s="6" t="s">
        <v>63</v>
      </c>
      <c r="D32" s="6" t="s">
        <v>64</v>
      </c>
      <c r="E32" s="9"/>
      <c r="F32" s="6" t="s">
        <v>65</v>
      </c>
      <c r="G32" s="8">
        <v>1.0</v>
      </c>
      <c r="H32" s="6"/>
      <c r="I32" s="6"/>
      <c r="J32" s="6"/>
      <c r="K32" s="6"/>
      <c r="L32" s="6"/>
      <c r="M32" s="6"/>
      <c r="N32" s="6"/>
      <c r="O32" s="6"/>
      <c r="P32" s="6"/>
      <c r="Q32" s="6"/>
      <c r="R32" s="6"/>
      <c r="S32" s="6"/>
      <c r="T32" s="6"/>
      <c r="U32" s="6"/>
      <c r="V32" s="6"/>
      <c r="W32" s="6"/>
      <c r="X32" s="6"/>
      <c r="Y32" s="6"/>
      <c r="Z32" s="6"/>
      <c r="AA32" s="6"/>
      <c r="AB32" s="6"/>
      <c r="AC32" s="6"/>
    </row>
    <row r="33">
      <c r="A33" s="9"/>
      <c r="B33" s="6" t="s">
        <v>58</v>
      </c>
      <c r="C33" s="6" t="s">
        <v>63</v>
      </c>
      <c r="D33" s="6" t="s">
        <v>64</v>
      </c>
      <c r="E33" s="9"/>
      <c r="F33" s="9"/>
      <c r="G33" s="8">
        <v>2.0</v>
      </c>
      <c r="H33" s="6"/>
      <c r="I33" s="6"/>
      <c r="J33" s="6"/>
      <c r="K33" s="6"/>
      <c r="L33" s="6"/>
      <c r="M33" s="6"/>
      <c r="N33" s="6"/>
      <c r="O33" s="6"/>
      <c r="P33" s="6"/>
      <c r="Q33" s="6"/>
      <c r="R33" s="6"/>
      <c r="S33" s="6"/>
      <c r="T33" s="6"/>
      <c r="U33" s="6"/>
      <c r="V33" s="6"/>
      <c r="W33" s="6"/>
      <c r="X33" s="6"/>
      <c r="Y33" s="6"/>
      <c r="Z33" s="6"/>
      <c r="AA33" s="6"/>
      <c r="AB33" s="6"/>
      <c r="AC33" s="6"/>
    </row>
    <row r="34">
      <c r="A34" s="9"/>
      <c r="B34" s="6" t="s">
        <v>58</v>
      </c>
      <c r="C34" s="6" t="s">
        <v>63</v>
      </c>
      <c r="D34" s="6" t="s">
        <v>64</v>
      </c>
      <c r="E34" s="9"/>
      <c r="F34" s="9"/>
      <c r="G34" s="8">
        <v>3.0</v>
      </c>
      <c r="H34" s="6"/>
      <c r="I34" s="6"/>
      <c r="J34" s="6"/>
      <c r="K34" s="6"/>
      <c r="L34" s="6"/>
      <c r="M34" s="6"/>
      <c r="N34" s="6"/>
      <c r="O34" s="6"/>
      <c r="P34" s="6"/>
      <c r="Q34" s="6"/>
      <c r="R34" s="6"/>
      <c r="S34" s="6"/>
      <c r="T34" s="6"/>
      <c r="U34" s="6"/>
      <c r="V34" s="6"/>
      <c r="W34" s="6"/>
      <c r="X34" s="6"/>
      <c r="Y34" s="6"/>
      <c r="Z34" s="6"/>
      <c r="AA34" s="6"/>
      <c r="AB34" s="6"/>
      <c r="AC34" s="6"/>
    </row>
    <row r="35">
      <c r="A35" s="9"/>
      <c r="B35" s="6" t="s">
        <v>58</v>
      </c>
      <c r="C35" s="8" t="s">
        <v>66</v>
      </c>
      <c r="D35" s="6" t="s">
        <v>67</v>
      </c>
      <c r="E35" s="7" t="s">
        <v>68</v>
      </c>
      <c r="F35" s="6" t="s">
        <v>46</v>
      </c>
      <c r="G35" s="8">
        <v>1.0</v>
      </c>
      <c r="H35" s="6"/>
      <c r="I35" s="6"/>
      <c r="J35" s="6"/>
      <c r="K35" s="6"/>
      <c r="L35" s="6"/>
      <c r="M35" s="6"/>
      <c r="N35" s="6"/>
      <c r="O35" s="6"/>
      <c r="P35" s="6"/>
      <c r="Q35" s="6"/>
      <c r="R35" s="6"/>
      <c r="S35" s="6"/>
      <c r="T35" s="6"/>
      <c r="U35" s="6"/>
      <c r="V35" s="6"/>
      <c r="W35" s="6"/>
      <c r="X35" s="6"/>
      <c r="Y35" s="6"/>
      <c r="Z35" s="6"/>
      <c r="AA35" s="6"/>
      <c r="AB35" s="6"/>
      <c r="AC35" s="6"/>
    </row>
    <row r="36">
      <c r="A36" s="9"/>
      <c r="B36" s="6" t="s">
        <v>58</v>
      </c>
      <c r="C36" s="8" t="s">
        <v>66</v>
      </c>
      <c r="D36" s="6" t="s">
        <v>67</v>
      </c>
      <c r="E36" s="9"/>
      <c r="F36" s="9"/>
      <c r="G36" s="8">
        <v>2.0</v>
      </c>
      <c r="H36" s="6"/>
      <c r="I36" s="6"/>
      <c r="J36" s="6"/>
      <c r="K36" s="6"/>
      <c r="L36" s="6"/>
      <c r="M36" s="6"/>
      <c r="N36" s="6"/>
      <c r="O36" s="6"/>
      <c r="P36" s="6"/>
      <c r="Q36" s="6"/>
      <c r="R36" s="6"/>
      <c r="S36" s="6"/>
      <c r="T36" s="6"/>
      <c r="U36" s="6"/>
      <c r="V36" s="6"/>
      <c r="W36" s="6"/>
      <c r="X36" s="6"/>
      <c r="Y36" s="6"/>
      <c r="Z36" s="6"/>
      <c r="AA36" s="6"/>
      <c r="AB36" s="6"/>
      <c r="AC36" s="6"/>
    </row>
    <row r="37">
      <c r="A37" s="9"/>
      <c r="B37" s="6" t="s">
        <v>58</v>
      </c>
      <c r="C37" s="8" t="s">
        <v>66</v>
      </c>
      <c r="D37" s="6" t="s">
        <v>67</v>
      </c>
      <c r="E37" s="9"/>
      <c r="F37" s="9"/>
      <c r="G37" s="8">
        <v>3.0</v>
      </c>
      <c r="H37" s="6"/>
      <c r="I37" s="6"/>
      <c r="J37" s="6"/>
      <c r="K37" s="6"/>
      <c r="L37" s="6"/>
      <c r="M37" s="6"/>
      <c r="N37" s="6"/>
      <c r="O37" s="6"/>
      <c r="P37" s="6"/>
      <c r="Q37" s="6"/>
      <c r="R37" s="6"/>
      <c r="S37" s="6"/>
      <c r="T37" s="6"/>
      <c r="U37" s="6"/>
      <c r="V37" s="6"/>
      <c r="W37" s="6"/>
      <c r="X37" s="6"/>
      <c r="Y37" s="6"/>
      <c r="Z37" s="6"/>
      <c r="AA37" s="6"/>
      <c r="AB37" s="6"/>
      <c r="AC37" s="6"/>
    </row>
    <row r="38">
      <c r="A38" s="6" t="s">
        <v>69</v>
      </c>
      <c r="B38" s="6" t="s">
        <v>70</v>
      </c>
      <c r="C38" s="8" t="s">
        <v>71</v>
      </c>
      <c r="D38" s="6" t="s">
        <v>72</v>
      </c>
      <c r="E38" s="10" t="s">
        <v>73</v>
      </c>
      <c r="F38" s="6" t="s">
        <v>74</v>
      </c>
      <c r="G38" s="8">
        <v>1.0</v>
      </c>
      <c r="H38" s="6"/>
      <c r="I38" s="6"/>
      <c r="J38" s="6"/>
      <c r="K38" s="6"/>
      <c r="L38" s="6"/>
      <c r="M38" s="6"/>
      <c r="N38" s="6"/>
      <c r="O38" s="6"/>
      <c r="P38" s="6"/>
      <c r="Q38" s="6"/>
      <c r="R38" s="6"/>
      <c r="S38" s="6"/>
      <c r="T38" s="6"/>
      <c r="U38" s="6"/>
      <c r="V38" s="6"/>
      <c r="W38" s="6"/>
      <c r="X38" s="6"/>
      <c r="Y38" s="6"/>
      <c r="Z38" s="6"/>
      <c r="AA38" s="6"/>
      <c r="AB38" s="6"/>
      <c r="AC38" s="6"/>
    </row>
    <row r="39">
      <c r="A39" s="9"/>
      <c r="B39" s="6" t="s">
        <v>70</v>
      </c>
      <c r="C39" s="8" t="s">
        <v>71</v>
      </c>
      <c r="D39" s="6" t="s">
        <v>72</v>
      </c>
      <c r="E39" s="7" t="s">
        <v>75</v>
      </c>
      <c r="F39" s="9"/>
      <c r="G39" s="8">
        <v>2.0</v>
      </c>
      <c r="H39" s="6"/>
      <c r="I39" s="6"/>
      <c r="J39" s="6"/>
      <c r="K39" s="6"/>
      <c r="L39" s="6"/>
      <c r="M39" s="6"/>
      <c r="N39" s="6"/>
      <c r="O39" s="6"/>
      <c r="P39" s="6"/>
      <c r="Q39" s="6"/>
      <c r="R39" s="6"/>
      <c r="S39" s="6"/>
      <c r="T39" s="6"/>
      <c r="U39" s="6"/>
      <c r="V39" s="6"/>
      <c r="W39" s="6"/>
      <c r="X39" s="6"/>
      <c r="Y39" s="6"/>
      <c r="Z39" s="6"/>
      <c r="AA39" s="6"/>
      <c r="AB39" s="6"/>
      <c r="AC39" s="6"/>
    </row>
    <row r="40">
      <c r="A40" s="9"/>
      <c r="B40" s="6" t="s">
        <v>70</v>
      </c>
      <c r="C40" s="8" t="s">
        <v>71</v>
      </c>
      <c r="D40" s="6" t="s">
        <v>72</v>
      </c>
      <c r="E40" s="9"/>
      <c r="F40" s="9"/>
      <c r="G40" s="8">
        <v>3.0</v>
      </c>
      <c r="H40" s="6"/>
      <c r="I40" s="6"/>
      <c r="J40" s="6"/>
      <c r="K40" s="6"/>
      <c r="L40" s="6"/>
      <c r="M40" s="6"/>
      <c r="N40" s="6"/>
      <c r="O40" s="6"/>
      <c r="P40" s="6"/>
      <c r="Q40" s="6"/>
      <c r="R40" s="6"/>
      <c r="S40" s="6"/>
      <c r="T40" s="6"/>
      <c r="U40" s="6"/>
      <c r="V40" s="6"/>
      <c r="W40" s="6"/>
      <c r="X40" s="6"/>
      <c r="Y40" s="6"/>
      <c r="Z40" s="6"/>
      <c r="AA40" s="6"/>
      <c r="AB40" s="6"/>
      <c r="AC40" s="6"/>
    </row>
    <row r="41">
      <c r="A41" s="6" t="s">
        <v>76</v>
      </c>
      <c r="B41" s="6" t="s">
        <v>70</v>
      </c>
      <c r="C41" s="6" t="s">
        <v>77</v>
      </c>
      <c r="D41" s="6" t="s">
        <v>78</v>
      </c>
      <c r="E41" s="7" t="s">
        <v>79</v>
      </c>
      <c r="F41" s="6" t="s">
        <v>80</v>
      </c>
      <c r="G41" s="8">
        <v>1.0</v>
      </c>
      <c r="H41" s="6"/>
      <c r="I41" s="6"/>
      <c r="J41" s="6"/>
      <c r="K41" s="6"/>
      <c r="L41" s="6"/>
      <c r="M41" s="6"/>
      <c r="N41" s="6"/>
      <c r="O41" s="6"/>
      <c r="P41" s="6"/>
      <c r="Q41" s="6"/>
      <c r="R41" s="6"/>
      <c r="S41" s="6"/>
      <c r="T41" s="6"/>
      <c r="U41" s="6"/>
      <c r="V41" s="6"/>
      <c r="W41" s="6"/>
      <c r="X41" s="6"/>
      <c r="Y41" s="6"/>
      <c r="Z41" s="6"/>
      <c r="AA41" s="6"/>
      <c r="AB41" s="6"/>
      <c r="AC41" s="6"/>
    </row>
    <row r="42">
      <c r="A42" s="6" t="s">
        <v>81</v>
      </c>
      <c r="B42" s="6" t="s">
        <v>70</v>
      </c>
      <c r="C42" s="6" t="s">
        <v>77</v>
      </c>
      <c r="D42" s="6" t="s">
        <v>78</v>
      </c>
      <c r="E42" s="7" t="s">
        <v>82</v>
      </c>
      <c r="F42" s="6" t="s">
        <v>83</v>
      </c>
      <c r="G42" s="8">
        <v>2.0</v>
      </c>
      <c r="H42" s="6"/>
      <c r="I42" s="6"/>
      <c r="J42" s="6"/>
      <c r="K42" s="6"/>
      <c r="L42" s="6"/>
      <c r="M42" s="6"/>
      <c r="N42" s="6"/>
      <c r="O42" s="6"/>
      <c r="P42" s="6"/>
      <c r="Q42" s="6"/>
      <c r="R42" s="6"/>
      <c r="S42" s="6"/>
      <c r="T42" s="6"/>
      <c r="U42" s="6"/>
      <c r="V42" s="6"/>
      <c r="W42" s="6"/>
      <c r="X42" s="6"/>
      <c r="Y42" s="6"/>
      <c r="Z42" s="6"/>
      <c r="AA42" s="6"/>
      <c r="AB42" s="6"/>
      <c r="AC42" s="6"/>
    </row>
    <row r="43">
      <c r="A43" s="9"/>
      <c r="B43" s="6" t="s">
        <v>70</v>
      </c>
      <c r="C43" s="6" t="s">
        <v>77</v>
      </c>
      <c r="D43" s="6" t="s">
        <v>78</v>
      </c>
      <c r="E43" s="9"/>
      <c r="F43" s="9"/>
      <c r="G43" s="8">
        <v>3.0</v>
      </c>
      <c r="H43" s="6"/>
      <c r="I43" s="6"/>
      <c r="J43" s="6"/>
      <c r="K43" s="6"/>
      <c r="L43" s="6"/>
      <c r="M43" s="6"/>
      <c r="N43" s="6"/>
      <c r="O43" s="6"/>
      <c r="P43" s="6"/>
      <c r="Q43" s="6"/>
      <c r="R43" s="6"/>
      <c r="S43" s="6"/>
      <c r="T43" s="6"/>
      <c r="U43" s="6"/>
      <c r="V43" s="6"/>
      <c r="W43" s="6"/>
      <c r="X43" s="6"/>
      <c r="Y43" s="6"/>
      <c r="Z43" s="6"/>
      <c r="AA43" s="6"/>
      <c r="AB43" s="6"/>
      <c r="AC43" s="6"/>
    </row>
    <row r="44">
      <c r="A44" s="6" t="s">
        <v>84</v>
      </c>
      <c r="B44" s="6" t="s">
        <v>70</v>
      </c>
      <c r="C44" s="6" t="s">
        <v>85</v>
      </c>
      <c r="D44" s="6" t="s">
        <v>86</v>
      </c>
      <c r="E44" s="7" t="s">
        <v>87</v>
      </c>
      <c r="F44" s="9"/>
      <c r="G44" s="8">
        <v>1.0</v>
      </c>
      <c r="H44" s="6"/>
      <c r="I44" s="6"/>
      <c r="J44" s="6"/>
      <c r="K44" s="6"/>
      <c r="L44" s="6"/>
      <c r="M44" s="6"/>
      <c r="N44" s="6"/>
      <c r="O44" s="6"/>
      <c r="P44" s="6"/>
      <c r="Q44" s="6"/>
      <c r="R44" s="6"/>
      <c r="S44" s="6"/>
      <c r="T44" s="6"/>
      <c r="U44" s="6"/>
      <c r="V44" s="6"/>
      <c r="W44" s="6"/>
      <c r="X44" s="6"/>
      <c r="Y44" s="6"/>
      <c r="Z44" s="6"/>
      <c r="AA44" s="6"/>
      <c r="AB44" s="6"/>
      <c r="AC44" s="6"/>
    </row>
    <row r="45">
      <c r="A45" s="9"/>
      <c r="B45" s="6" t="s">
        <v>70</v>
      </c>
      <c r="C45" s="6" t="s">
        <v>85</v>
      </c>
      <c r="D45" s="6" t="s">
        <v>86</v>
      </c>
      <c r="E45" s="7" t="s">
        <v>88</v>
      </c>
      <c r="F45" s="9"/>
      <c r="G45" s="8">
        <v>2.0</v>
      </c>
      <c r="H45" s="6"/>
      <c r="I45" s="6"/>
      <c r="J45" s="6"/>
      <c r="K45" s="6"/>
      <c r="L45" s="6"/>
      <c r="M45" s="6"/>
      <c r="N45" s="6"/>
      <c r="O45" s="6"/>
      <c r="P45" s="6"/>
      <c r="Q45" s="6"/>
      <c r="R45" s="6"/>
      <c r="S45" s="6"/>
      <c r="T45" s="6"/>
      <c r="U45" s="6"/>
      <c r="V45" s="6"/>
      <c r="W45" s="6"/>
      <c r="X45" s="6"/>
      <c r="Y45" s="6"/>
      <c r="Z45" s="6"/>
      <c r="AA45" s="6"/>
      <c r="AB45" s="6"/>
      <c r="AC45" s="6"/>
    </row>
    <row r="46">
      <c r="A46" s="9"/>
      <c r="B46" s="6" t="s">
        <v>70</v>
      </c>
      <c r="C46" s="6" t="s">
        <v>85</v>
      </c>
      <c r="D46" s="6" t="s">
        <v>86</v>
      </c>
      <c r="E46" s="9"/>
      <c r="F46" s="9"/>
      <c r="G46" s="8">
        <v>3.0</v>
      </c>
      <c r="H46" s="6"/>
      <c r="I46" s="6"/>
      <c r="J46" s="6"/>
      <c r="K46" s="6"/>
      <c r="L46" s="6"/>
      <c r="M46" s="6"/>
      <c r="N46" s="6"/>
      <c r="O46" s="6"/>
      <c r="P46" s="6"/>
      <c r="Q46" s="6"/>
      <c r="R46" s="6"/>
      <c r="S46" s="6"/>
      <c r="T46" s="6"/>
      <c r="U46" s="6"/>
      <c r="V46" s="6"/>
      <c r="W46" s="6"/>
      <c r="X46" s="6"/>
      <c r="Y46" s="6"/>
      <c r="Z46" s="6"/>
      <c r="AA46" s="6"/>
      <c r="AB46" s="6"/>
      <c r="AC46" s="6"/>
    </row>
    <row r="47">
      <c r="A47" s="6" t="s">
        <v>89</v>
      </c>
      <c r="B47" s="6" t="s">
        <v>90</v>
      </c>
      <c r="C47" s="6" t="s">
        <v>91</v>
      </c>
      <c r="D47" s="6" t="s">
        <v>92</v>
      </c>
      <c r="E47" s="7" t="s">
        <v>93</v>
      </c>
      <c r="F47" s="6" t="s">
        <v>94</v>
      </c>
      <c r="G47" s="8">
        <v>1.0</v>
      </c>
      <c r="H47" s="6"/>
      <c r="I47" s="6"/>
      <c r="J47" s="6"/>
      <c r="K47" s="6"/>
      <c r="L47" s="6"/>
      <c r="M47" s="6"/>
      <c r="N47" s="6"/>
      <c r="O47" s="6"/>
      <c r="P47" s="6"/>
      <c r="Q47" s="6"/>
      <c r="R47" s="6"/>
      <c r="S47" s="6"/>
      <c r="T47" s="6"/>
      <c r="U47" s="6"/>
      <c r="V47" s="6"/>
      <c r="W47" s="6"/>
      <c r="X47" s="6"/>
      <c r="Y47" s="6"/>
      <c r="Z47" s="6"/>
      <c r="AA47" s="6"/>
      <c r="AB47" s="6"/>
      <c r="AC47" s="6"/>
    </row>
    <row r="48">
      <c r="A48" s="9"/>
      <c r="B48" s="6" t="s">
        <v>90</v>
      </c>
      <c r="C48" s="6" t="s">
        <v>91</v>
      </c>
      <c r="D48" s="6" t="s">
        <v>92</v>
      </c>
      <c r="E48" s="7" t="s">
        <v>95</v>
      </c>
      <c r="F48" s="6" t="s">
        <v>96</v>
      </c>
      <c r="G48" s="8">
        <v>2.0</v>
      </c>
      <c r="H48" s="6"/>
      <c r="I48" s="6"/>
      <c r="J48" s="6"/>
      <c r="K48" s="6"/>
      <c r="L48" s="6"/>
      <c r="M48" s="6"/>
      <c r="N48" s="6"/>
      <c r="O48" s="6"/>
      <c r="P48" s="6"/>
      <c r="Q48" s="6"/>
      <c r="R48" s="6"/>
      <c r="S48" s="6"/>
      <c r="T48" s="6"/>
      <c r="U48" s="6"/>
      <c r="V48" s="6"/>
      <c r="W48" s="6"/>
      <c r="X48" s="6"/>
      <c r="Y48" s="6"/>
      <c r="Z48" s="6"/>
      <c r="AA48" s="6"/>
      <c r="AB48" s="6"/>
      <c r="AC48" s="6"/>
    </row>
    <row r="49">
      <c r="A49" s="6" t="s">
        <v>97</v>
      </c>
      <c r="B49" s="6" t="s">
        <v>90</v>
      </c>
      <c r="C49" s="6" t="s">
        <v>91</v>
      </c>
      <c r="D49" s="6" t="s">
        <v>92</v>
      </c>
      <c r="E49" s="7" t="s">
        <v>98</v>
      </c>
      <c r="F49" s="6" t="s">
        <v>99</v>
      </c>
      <c r="G49" s="8">
        <v>3.0</v>
      </c>
      <c r="H49" s="6"/>
      <c r="I49" s="6"/>
      <c r="J49" s="6"/>
      <c r="K49" s="6"/>
      <c r="L49" s="6"/>
      <c r="M49" s="6"/>
      <c r="N49" s="6"/>
      <c r="O49" s="6"/>
      <c r="P49" s="6"/>
      <c r="Q49" s="6"/>
      <c r="R49" s="6"/>
      <c r="S49" s="6"/>
      <c r="T49" s="6"/>
      <c r="U49" s="6"/>
      <c r="V49" s="6"/>
      <c r="W49" s="6"/>
      <c r="X49" s="6"/>
      <c r="Y49" s="6"/>
      <c r="Z49" s="6"/>
      <c r="AA49" s="6"/>
      <c r="AB49" s="6"/>
      <c r="AC49" s="6"/>
    </row>
    <row r="50">
      <c r="A50" s="9"/>
      <c r="B50" s="6" t="s">
        <v>90</v>
      </c>
      <c r="C50" s="6" t="s">
        <v>100</v>
      </c>
      <c r="D50" s="6" t="s">
        <v>101</v>
      </c>
      <c r="E50" s="7" t="s">
        <v>102</v>
      </c>
      <c r="F50" s="6" t="s">
        <v>103</v>
      </c>
      <c r="G50" s="8">
        <v>1.0</v>
      </c>
      <c r="H50" s="6"/>
      <c r="I50" s="6"/>
      <c r="J50" s="6"/>
      <c r="K50" s="6"/>
      <c r="L50" s="6"/>
      <c r="M50" s="6"/>
      <c r="N50" s="6"/>
      <c r="O50" s="6"/>
      <c r="P50" s="6"/>
      <c r="Q50" s="6"/>
      <c r="R50" s="6"/>
      <c r="S50" s="6"/>
      <c r="T50" s="6"/>
      <c r="U50" s="6"/>
      <c r="V50" s="6"/>
      <c r="W50" s="6"/>
      <c r="X50" s="6"/>
      <c r="Y50" s="6"/>
      <c r="Z50" s="6"/>
      <c r="AA50" s="6"/>
      <c r="AB50" s="6"/>
      <c r="AC50" s="6"/>
    </row>
    <row r="51">
      <c r="A51" s="6" t="s">
        <v>104</v>
      </c>
      <c r="B51" s="6" t="s">
        <v>90</v>
      </c>
      <c r="C51" s="6" t="s">
        <v>100</v>
      </c>
      <c r="D51" s="6" t="s">
        <v>101</v>
      </c>
      <c r="E51" s="10" t="s">
        <v>105</v>
      </c>
      <c r="F51" s="6" t="s">
        <v>106</v>
      </c>
      <c r="G51" s="8">
        <v>2.0</v>
      </c>
      <c r="H51" s="6"/>
      <c r="I51" s="6"/>
      <c r="J51" s="6"/>
      <c r="K51" s="6"/>
      <c r="L51" s="6"/>
      <c r="M51" s="6"/>
      <c r="N51" s="6"/>
      <c r="O51" s="6"/>
      <c r="P51" s="6"/>
      <c r="Q51" s="6"/>
      <c r="R51" s="6"/>
      <c r="S51" s="6"/>
      <c r="T51" s="6"/>
      <c r="U51" s="6"/>
      <c r="V51" s="6"/>
      <c r="W51" s="6"/>
      <c r="X51" s="6"/>
      <c r="Y51" s="6"/>
      <c r="Z51" s="6"/>
      <c r="AA51" s="6"/>
      <c r="AB51" s="6"/>
      <c r="AC51" s="6"/>
    </row>
    <row r="52">
      <c r="A52" s="9"/>
      <c r="B52" s="6" t="s">
        <v>90</v>
      </c>
      <c r="C52" s="6" t="s">
        <v>100</v>
      </c>
      <c r="D52" s="6" t="s">
        <v>101</v>
      </c>
      <c r="E52" s="9"/>
      <c r="F52" s="9"/>
      <c r="G52" s="8">
        <v>3.0</v>
      </c>
      <c r="H52" s="6"/>
      <c r="I52" s="6"/>
      <c r="J52" s="6"/>
      <c r="K52" s="6"/>
      <c r="L52" s="6"/>
      <c r="M52" s="6"/>
      <c r="N52" s="6"/>
      <c r="O52" s="6"/>
      <c r="P52" s="6"/>
      <c r="Q52" s="6"/>
      <c r="R52" s="6"/>
      <c r="S52" s="6"/>
      <c r="T52" s="6"/>
      <c r="U52" s="6"/>
      <c r="V52" s="6"/>
      <c r="W52" s="6"/>
      <c r="X52" s="6"/>
      <c r="Y52" s="6"/>
      <c r="Z52" s="6"/>
      <c r="AA52" s="6"/>
      <c r="AB52" s="6"/>
      <c r="AC52" s="6"/>
    </row>
    <row r="53">
      <c r="A53" s="8" t="s">
        <v>107</v>
      </c>
      <c r="B53" s="6" t="s">
        <v>90</v>
      </c>
      <c r="C53" s="6" t="s">
        <v>108</v>
      </c>
      <c r="D53" s="6" t="s">
        <v>109</v>
      </c>
      <c r="E53" s="7" t="s">
        <v>110</v>
      </c>
      <c r="F53" s="9"/>
      <c r="G53" s="8">
        <v>1.0</v>
      </c>
      <c r="H53" s="6"/>
      <c r="I53" s="6"/>
      <c r="J53" s="6"/>
      <c r="K53" s="6"/>
      <c r="L53" s="6"/>
      <c r="M53" s="6"/>
      <c r="N53" s="6"/>
      <c r="O53" s="6"/>
      <c r="P53" s="6"/>
      <c r="Q53" s="6"/>
      <c r="R53" s="6"/>
      <c r="S53" s="6"/>
      <c r="T53" s="6"/>
      <c r="U53" s="6"/>
      <c r="V53" s="6"/>
      <c r="W53" s="6"/>
      <c r="X53" s="6"/>
      <c r="Y53" s="6"/>
      <c r="Z53" s="6"/>
      <c r="AA53" s="6"/>
      <c r="AB53" s="6"/>
      <c r="AC53" s="6"/>
    </row>
    <row r="54">
      <c r="A54" s="9"/>
      <c r="B54" s="6" t="s">
        <v>90</v>
      </c>
      <c r="C54" s="6" t="s">
        <v>108</v>
      </c>
      <c r="D54" s="6" t="s">
        <v>109</v>
      </c>
      <c r="E54" s="9"/>
      <c r="F54" s="9"/>
      <c r="G54" s="8">
        <v>2.0</v>
      </c>
      <c r="H54" s="6"/>
      <c r="I54" s="6"/>
      <c r="J54" s="6"/>
      <c r="K54" s="6"/>
      <c r="L54" s="6"/>
      <c r="M54" s="6"/>
      <c r="N54" s="6"/>
      <c r="O54" s="6"/>
      <c r="P54" s="6"/>
      <c r="Q54" s="6"/>
      <c r="R54" s="6"/>
      <c r="S54" s="6"/>
      <c r="T54" s="6"/>
      <c r="U54" s="6"/>
      <c r="V54" s="6"/>
      <c r="W54" s="6"/>
      <c r="X54" s="6"/>
      <c r="Y54" s="6"/>
      <c r="Z54" s="6"/>
      <c r="AA54" s="6"/>
      <c r="AB54" s="6"/>
      <c r="AC54" s="6"/>
    </row>
    <row r="55">
      <c r="A55" s="9"/>
      <c r="B55" s="6" t="s">
        <v>90</v>
      </c>
      <c r="C55" s="6" t="s">
        <v>108</v>
      </c>
      <c r="D55" s="6" t="s">
        <v>109</v>
      </c>
      <c r="E55" s="9"/>
      <c r="F55" s="9"/>
      <c r="G55" s="8">
        <v>3.0</v>
      </c>
      <c r="H55" s="6"/>
      <c r="I55" s="6"/>
      <c r="J55" s="6"/>
      <c r="K55" s="6"/>
      <c r="L55" s="6"/>
      <c r="M55" s="6"/>
      <c r="N55" s="6"/>
      <c r="O55" s="6"/>
      <c r="P55" s="6"/>
      <c r="Q55" s="6"/>
      <c r="R55" s="6"/>
      <c r="S55" s="6"/>
      <c r="T55" s="6"/>
      <c r="U55" s="6"/>
      <c r="V55" s="6"/>
      <c r="W55" s="6"/>
      <c r="X55" s="6"/>
      <c r="Y55" s="6"/>
      <c r="Z55" s="6"/>
      <c r="AA55" s="6"/>
      <c r="AB55" s="6"/>
      <c r="AC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sheetData>
  <conditionalFormatting sqref="A2:A55">
    <cfRule type="containsBlanks" dxfId="0" priority="1">
      <formula>LEN(TRIM(A2))=0</formula>
    </cfRule>
  </conditionalFormatting>
  <dataValidations>
    <dataValidation type="list" allowBlank="1" showErrorMessage="1" sqref="B2:B100">
      <formula1>'Data Validation Lists'!$A$2:$A$100</formula1>
    </dataValidation>
    <dataValidation type="list" allowBlank="1" showErrorMessage="1" sqref="D2:D100">
      <formula1>'Data Validation Lists'!$B$2:$B$100</formula1>
    </dataValidation>
    <dataValidation type="list" allowBlank="1" showErrorMessage="1" sqref="C2:C100">
      <formula1>'Data Validation Lists'!$C$2:$C$100</formula1>
    </dataValidation>
  </dataValidations>
  <drawing r:id="rId1"/>
</worksheet>
</file>