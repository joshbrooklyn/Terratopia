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 Validation List" sheetId="1" r:id="rId5"/>
    <sheet state="visible" name="NPCs" sheetId="2" r:id="rId6"/>
  </sheets>
  <definedNames/>
  <calcPr/>
</workbook>
</file>

<file path=xl/sharedStrings.xml><?xml version="1.0" encoding="utf-8"?>
<sst xmlns="http://schemas.openxmlformats.org/spreadsheetml/2006/main" count="113" uniqueCount="101">
  <si>
    <t>Settlement</t>
  </si>
  <si>
    <t>Name</t>
  </si>
  <si>
    <t>Associated Dungeon</t>
  </si>
  <si>
    <t>Lore</t>
  </si>
  <si>
    <t>Sidequest</t>
  </si>
  <si>
    <t>Memento</t>
  </si>
  <si>
    <t>Doubt</t>
  </si>
  <si>
    <t>Faith</t>
  </si>
  <si>
    <t>Shuna</t>
  </si>
  <si>
    <t>King Simon</t>
  </si>
  <si>
    <t>Dungeon of the Skeleton Lord</t>
  </si>
  <si>
    <t>Akio's father</t>
  </si>
  <si>
    <t>Jedda Arcus</t>
  </si>
  <si>
    <t>The Forest of Illusion</t>
  </si>
  <si>
    <t>Shuna's blacksmith and Uncle figure to Akio</t>
  </si>
  <si>
    <t>Jedda's Hammer</t>
  </si>
  <si>
    <t>Non-boss monsters have a 25% chance per rank to gain Immune 1 at the start of battle. (2 ranks)</t>
  </si>
  <si>
    <t>Increase all character's base Hp by 30 per rank (2 ranks)</t>
  </si>
  <si>
    <t>Fletcher</t>
  </si>
  <si>
    <t>The Bandit Camp</t>
  </si>
  <si>
    <t>Shuna's Pharmacist &amp; Healer, reluctant head of the town's militia</t>
  </si>
  <si>
    <t>Complete the quest with -3 elixir capacity</t>
  </si>
  <si>
    <t>Gloves? Explosion Pills?</t>
  </si>
  <si>
    <t>Elixirs restore 5% less Hp/Tp per rank (3 ranks)</t>
  </si>
  <si>
    <t>+1 Elixir Capacity per rank (2 ranks)</t>
  </si>
  <si>
    <t>Pandam</t>
  </si>
  <si>
    <t>Hans</t>
  </si>
  <si>
    <t>Theives Guild Hideout</t>
  </si>
  <si>
    <t>Current leader of the Men of the Sea</t>
  </si>
  <si>
    <t>Hans's Coin</t>
  </si>
  <si>
    <t>Chests have a 10% chance per rank to be empty (3 ranks)</t>
  </si>
  <si>
    <t>Gain 1 chest reroll per rank per dungeon (3 Ranks)</t>
  </si>
  <si>
    <t>Maris Featherwind</t>
  </si>
  <si>
    <t>Pandam Sewers</t>
  </si>
  <si>
    <t>Barkeep and Info Broker of the Aeido</t>
  </si>
  <si>
    <t>Yuki's Jam</t>
  </si>
  <si>
    <t>Darum Vermillion</t>
  </si>
  <si>
    <t>Pandam Cathedral</t>
  </si>
  <si>
    <t>Refugee living on the outskirts of Pandam</t>
  </si>
  <si>
    <t>Kill every monster in the dungeon</t>
  </si>
  <si>
    <t>Darum's old Badge</t>
  </si>
  <si>
    <t>Enemies do not flee (1 rank)</t>
  </si>
  <si>
    <t>Dreamer's Rest</t>
  </si>
  <si>
    <t>Emelda Redbough</t>
  </si>
  <si>
    <t>The Tower of Mist</t>
  </si>
  <si>
    <t>Matronly no-nonsense Innkeeper of The Dreamer's Rest</t>
  </si>
  <si>
    <t>Babaderu</t>
  </si>
  <si>
    <t>Mountain Peaks</t>
  </si>
  <si>
    <t>Learned scholar and wise mountain man.  Has a soft spot for Akio but is otherwise quiet and stoic.</t>
  </si>
  <si>
    <t>Babaderu's Hatchet</t>
  </si>
  <si>
    <t>Enemies have +5% crit chance per rank (3 ranks)</t>
  </si>
  <si>
    <t>Adventurers have +2% crit chance per rank (3 ranks)</t>
  </si>
  <si>
    <t>Eryndor Windmere</t>
  </si>
  <si>
    <t>Tower Basement</t>
  </si>
  <si>
    <t>Wanna be rival of Weyland</t>
  </si>
  <si>
    <t>The Water Shrine</t>
  </si>
  <si>
    <t>Alden Orinbark</t>
  </si>
  <si>
    <t>Shrine Depths</t>
  </si>
  <si>
    <t>Took over for Cedric as head priest</t>
  </si>
  <si>
    <t>Incense</t>
  </si>
  <si>
    <t>Amata Ifura</t>
  </si>
  <si>
    <t>Tidal Caves</t>
  </si>
  <si>
    <t>Traveling monk</t>
  </si>
  <si>
    <t>On round start: all monsters gain 5 evasion per rank (3 ranks)</t>
  </si>
  <si>
    <t>On round start: all adventurers gain 2 evasion per rank (3 ranks)</t>
  </si>
  <si>
    <t>Mira Solene</t>
  </si>
  <si>
    <t>The Desert Dungeon</t>
  </si>
  <si>
    <t>Treasure hunter after her family fortune</t>
  </si>
  <si>
    <t>Umbraveil</t>
  </si>
  <si>
    <t>Catrin Russo</t>
  </si>
  <si>
    <t>Castle Natela</t>
  </si>
  <si>
    <t>Newly elected mayor</t>
  </si>
  <si>
    <t>Phoebe McIntire</t>
  </si>
  <si>
    <t>Fireburg Volcano</t>
  </si>
  <si>
    <t>Witch and outcast</t>
  </si>
  <si>
    <t>Yuki Lanford</t>
  </si>
  <si>
    <t>Castle Natela's Basement</t>
  </si>
  <si>
    <t>The jam girl who wants to be a singer</t>
  </si>
  <si>
    <t>Explorer's Camp</t>
  </si>
  <si>
    <t>Gaelrick Quickstep</t>
  </si>
  <si>
    <t>Weapons Research</t>
  </si>
  <si>
    <t>Head of the expedition</t>
  </si>
  <si>
    <t>Ryn Claybrow</t>
  </si>
  <si>
    <t>Climate Control</t>
  </si>
  <si>
    <t>Science person of the expedition</t>
  </si>
  <si>
    <t>Kesta the Antiquarian</t>
  </si>
  <si>
    <t>The Residential District</t>
  </si>
  <si>
    <t>Traveling Historian and Antiquarian</t>
  </si>
  <si>
    <t>Win in under X minutes</t>
  </si>
  <si>
    <t>Raise/Lower water level</t>
  </si>
  <si>
    <t>Win without anyone dying</t>
  </si>
  <si>
    <t>Chests can have keys</t>
  </si>
  <si>
    <t>Beat the boss in under X rounds</t>
  </si>
  <si>
    <t>You need to find the Big Key</t>
  </si>
  <si>
    <t>Apply positive simple status effects X times</t>
  </si>
  <si>
    <t>Red/Blue doors - Only one set can be open</t>
  </si>
  <si>
    <t>Apply negative simple status effects X times</t>
  </si>
  <si>
    <t>Open every chest</t>
  </si>
  <si>
    <t>Don't open any chests</t>
  </si>
  <si>
    <t>Don't pick up any rare loot</t>
  </si>
  <si>
    <t>Don't pick up any common loot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</si>
</sst>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 shrinkToFit="0" vertical="bottom" wrapText="1"/>
    </xf>
    <xf borderId="1" fillId="2" fontId="3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quotePrefix="1"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IFERROR(__xludf.DUMMYFUNCTION("IMPORTRANGE(""https://docs.google.com/spreadsheets/d/1V2VZjdxtK2Luwd1adElxgqyPyzCzGsd-PV-oDONkYp8/edit?usp=sharing"",""Master_Data_Validation!A1:Z500"")"),"Settlements")</f>
        <v>Settlements</v>
      </c>
      <c r="B1" s="1" t="str">
        <f>IFERROR(__xludf.DUMMYFUNCTION("""COMPUTED_VALUE"""),"Dungeons")</f>
        <v>Dungeons</v>
      </c>
      <c r="C1" s="1" t="str">
        <f>IFERROR(__xludf.DUMMYFUNCTION("""COMPUTED_VALUE"""),"Questgivers")</f>
        <v>Questgivers</v>
      </c>
      <c r="D1" s="1" t="str">
        <f>IFERROR(__xludf.DUMMYFUNCTION("""COMPUTED_VALUE"""),"Monster Sizes")</f>
        <v>Monster Sizes</v>
      </c>
      <c r="E1" s="1" t="str">
        <f>IFERROR(__xludf.DUMMYFUNCTION("""COMPUTED_VALUE"""),"Rarities")</f>
        <v>Rarities</v>
      </c>
      <c r="F1" s="1" t="str">
        <f>IFERROR(__xludf.DUMMYFUNCTION("""COMPUTED_VALUE"""),"Keywords")</f>
        <v>Keywords</v>
      </c>
      <c r="G1" s="1" t="str">
        <f>IFERROR(__xludf.DUMMYFUNCTION("""COMPUTED_VALUE"""),"Traits")</f>
        <v>Traits</v>
      </c>
      <c r="H1" s="1" t="str">
        <f>IFERROR(__xludf.DUMMYFUNCTION("""COMPUTED_VALUE"""),"Targeting Type")</f>
        <v>Targeting Type</v>
      </c>
      <c r="I1" s="1" t="str">
        <f>IFERROR(__xludf.DUMMYFUNCTION("""COMPUTED_VALUE"""),"Valid Targets")</f>
        <v>Valid Targets</v>
      </c>
      <c r="J1" s="1" t="str">
        <f>IFERROR(__xludf.DUMMYFUNCTION("""COMPUTED_VALUE"""),"Living or Dead")</f>
        <v>Living or Dead</v>
      </c>
      <c r="K1" s="1" t="str">
        <f>IFERROR(__xludf.DUMMYFUNCTION("""COMPUTED_VALUE"""),"Element")</f>
        <v>Element</v>
      </c>
      <c r="L1" s="1" t="str">
        <f>IFERROR(__xludf.DUMMYFUNCTION("""COMPUTED_VALUE"""),"Asset Triggers")</f>
        <v>Asset Triggers</v>
      </c>
      <c r="M1" s="1" t="str">
        <f>IFERROR(__xludf.DUMMYFUNCTION("""COMPUTED_VALUE"""),"Jobs")</f>
        <v>Jobs</v>
      </c>
      <c r="N1" s="1" t="str">
        <f>IFERROR(__xludf.DUMMYFUNCTION("""COMPUTED_VALUE"""),"TP Cost")</f>
        <v>TP Cost</v>
      </c>
      <c r="O1" s="1" t="str">
        <f>IFERROR(__xludf.DUMMYFUNCTION("""COMPUTED_VALUE"""),"Tier")</f>
        <v>Tier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tr">
        <f>IFERROR(__xludf.DUMMYFUNCTION("""COMPUTED_VALUE"""),"Shuna")</f>
        <v>Shuna</v>
      </c>
      <c r="B2" s="1" t="str">
        <f>IFERROR(__xludf.DUMMYFUNCTION("""COMPUTED_VALUE"""),"The Forest of Illusion")</f>
        <v>The Forest of Illusion</v>
      </c>
      <c r="C2" s="1" t="str">
        <f>IFERROR(__xludf.DUMMYFUNCTION("""COMPUTED_VALUE"""),"Jedda Arcus")</f>
        <v>Jedda Arcus</v>
      </c>
      <c r="D2" s="1" t="str">
        <f>IFERROR(__xludf.DUMMYFUNCTION("""COMPUTED_VALUE"""),"1x1")</f>
        <v>1x1</v>
      </c>
      <c r="E2" s="1" t="str">
        <f>IFERROR(__xludf.DUMMYFUNCTION("""COMPUTED_VALUE"""),"1. Low Common")</f>
        <v>1. Low Common</v>
      </c>
      <c r="F2" s="1" t="str">
        <f>IFERROR(__xludf.DUMMYFUNCTION("""COMPUTED_VALUE"""),"Exhaust")</f>
        <v>Exhaust</v>
      </c>
      <c r="G2" s="1" t="str">
        <f>IFERROR(__xludf.DUMMYFUNCTION("""COMPUTED_VALUE"""),"Ignore Def")</f>
        <v>Ignore Def</v>
      </c>
      <c r="H2" s="1" t="str">
        <f>IFERROR(__xludf.DUMMYFUNCTION("""COMPUTED_VALUE"""),"Choose")</f>
        <v>Choose</v>
      </c>
      <c r="I2" s="1" t="str">
        <f>IFERROR(__xludf.DUMMYFUNCTION("""COMPUTED_VALUE"""),"Opponents")</f>
        <v>Opponents</v>
      </c>
      <c r="J2" s="1" t="str">
        <f>IFERROR(__xludf.DUMMYFUNCTION("""COMPUTED_VALUE"""),"Living")</f>
        <v>Living</v>
      </c>
      <c r="K2" s="1" t="str">
        <f>IFERROR(__xludf.DUMMYFUNCTION("""COMPUTED_VALUE"""),"Fire")</f>
        <v>Fire</v>
      </c>
      <c r="L2" s="1" t="str">
        <f>IFERROR(__xludf.DUMMYFUNCTION("""COMPUTED_VALUE"""),"None")</f>
        <v>None</v>
      </c>
      <c r="M2" s="1" t="str">
        <f>IFERROR(__xludf.DUMMYFUNCTION("""COMPUTED_VALUE"""),"Any Adventurer")</f>
        <v>Any Adventurer</v>
      </c>
      <c r="N2" s="1">
        <f>IFERROR(__xludf.DUMMYFUNCTION("""COMPUTED_VALUE"""),0.0)</f>
        <v>0</v>
      </c>
      <c r="O2" s="1">
        <f>IFERROR(__xludf.DUMMYFUNCTION("""COMPUTED_VALUE"""),1.0)</f>
        <v>1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tr">
        <f>IFERROR(__xludf.DUMMYFUNCTION("""COMPUTED_VALUE"""),"Dreamer's Rest")</f>
        <v>Dreamer's Rest</v>
      </c>
      <c r="B3" s="1" t="str">
        <f>IFERROR(__xludf.DUMMYFUNCTION("""COMPUTED_VALUE"""),"The Bandit Camp")</f>
        <v>The Bandit Camp</v>
      </c>
      <c r="C3" s="1" t="str">
        <f>IFERROR(__xludf.DUMMYFUNCTION("""COMPUTED_VALUE"""),"Fletcher")</f>
        <v>Fletcher</v>
      </c>
      <c r="D3" s="1" t="str">
        <f>IFERROR(__xludf.DUMMYFUNCTION("""COMPUTED_VALUE"""),"2x1")</f>
        <v>2x1</v>
      </c>
      <c r="E3" s="1" t="str">
        <f>IFERROR(__xludf.DUMMYFUNCTION("""COMPUTED_VALUE"""),"2. High Common")</f>
        <v>2. High Common</v>
      </c>
      <c r="F3" s="1" t="str">
        <f>IFERROR(__xludf.DUMMYFUNCTION("""COMPUTED_VALUE"""),"Single Use")</f>
        <v>Single Use</v>
      </c>
      <c r="G3" s="1" t="str">
        <f>IFERROR(__xludf.DUMMYFUNCTION("""COMPUTED_VALUE"""),"No Cover")</f>
        <v>No Cover</v>
      </c>
      <c r="H3" s="1" t="str">
        <f>IFERROR(__xludf.DUMMYFUNCTION("""COMPUTED_VALUE"""),"Choose No Replacement")</f>
        <v>Choose No Replacement</v>
      </c>
      <c r="I3" s="1" t="str">
        <f>IFERROR(__xludf.DUMMYFUNCTION("""COMPUTED_VALUE"""),"Allies")</f>
        <v>Allies</v>
      </c>
      <c r="J3" s="1" t="str">
        <f>IFERROR(__xludf.DUMMYFUNCTION("""COMPUTED_VALUE"""),"Dead")</f>
        <v>Dead</v>
      </c>
      <c r="K3" s="1" t="str">
        <f>IFERROR(__xludf.DUMMYFUNCTION("""COMPUTED_VALUE"""),"Ice")</f>
        <v>Ice</v>
      </c>
      <c r="L3" s="1" t="str">
        <f>IFERROR(__xludf.DUMMYFUNCTION("""COMPUTED_VALUE"""),"Start of Battle")</f>
        <v>Start of Battle</v>
      </c>
      <c r="M3" s="1" t="str">
        <f>IFERROR(__xludf.DUMMYFUNCTION("""COMPUTED_VALUE"""),"Fighter")</f>
        <v>Fighter</v>
      </c>
      <c r="N3" s="1">
        <f>IFERROR(__xludf.DUMMYFUNCTION("""COMPUTED_VALUE"""),8.0)</f>
        <v>8</v>
      </c>
      <c r="O3" s="1">
        <f>IFERROR(__xludf.DUMMYFUNCTION("""COMPUTED_VALUE"""),2.0)</f>
        <v>2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tr">
        <f>IFERROR(__xludf.DUMMYFUNCTION("""COMPUTED_VALUE"""),"The Water Shrine")</f>
        <v>The Water Shrine</v>
      </c>
      <c r="B4" s="1" t="str">
        <f>IFERROR(__xludf.DUMMYFUNCTION("""COMPUTED_VALUE"""),"Dungeon of the Skeleton Lord")</f>
        <v>Dungeon of the Skeleton Lord</v>
      </c>
      <c r="C4" s="1" t="str">
        <f>IFERROR(__xludf.DUMMYFUNCTION("""COMPUTED_VALUE"""),"King Simon")</f>
        <v>King Simon</v>
      </c>
      <c r="D4" s="1" t="str">
        <f>IFERROR(__xludf.DUMMYFUNCTION("""COMPUTED_VALUE"""),"3x1")</f>
        <v>3x1</v>
      </c>
      <c r="E4" s="1" t="str">
        <f>IFERROR(__xludf.DUMMYFUNCTION("""COMPUTED_VALUE"""),"3. Low Rare")</f>
        <v>3. Low Rare</v>
      </c>
      <c r="F4" s="1" t="str">
        <f>IFERROR(__xludf.DUMMYFUNCTION("""COMPUTED_VALUE"""),"Teamwork")</f>
        <v>Teamwork</v>
      </c>
      <c r="G4" s="1" t="str">
        <f>IFERROR(__xludf.DUMMYFUNCTION("""COMPUTED_VALUE"""),"No Evade")</f>
        <v>No Evade</v>
      </c>
      <c r="H4" s="1" t="str">
        <f>IFERROR(__xludf.DUMMYFUNCTION("""COMPUTED_VALUE"""),"Random")</f>
        <v>Random</v>
      </c>
      <c r="I4" s="1" t="str">
        <f>IFERROR(__xludf.DUMMYFUNCTION("""COMPUTED_VALUE"""),"Both")</f>
        <v>Both</v>
      </c>
      <c r="J4" s="1" t="str">
        <f>IFERROR(__xludf.DUMMYFUNCTION("""COMPUTED_VALUE"""),"Both")</f>
        <v>Both</v>
      </c>
      <c r="K4" s="1" t="str">
        <f>IFERROR(__xludf.DUMMYFUNCTION("""COMPUTED_VALUE"""),"Lit")</f>
        <v>Lit</v>
      </c>
      <c r="L4" s="1" t="str">
        <f>IFERROR(__xludf.DUMMYFUNCTION("""COMPUTED_VALUE"""),"Start of Round")</f>
        <v>Start of Round</v>
      </c>
      <c r="M4" s="1" t="str">
        <f>IFERROR(__xludf.DUMMYFUNCTION("""COMPUTED_VALUE"""),"Rogue")</f>
        <v>Rogue</v>
      </c>
      <c r="N4" s="1">
        <f>IFERROR(__xludf.DUMMYFUNCTION("""COMPUTED_VALUE"""),14.0)</f>
        <v>14</v>
      </c>
      <c r="O4" s="1">
        <f>IFERROR(__xludf.DUMMYFUNCTION("""COMPUTED_VALUE"""),3.0)</f>
        <v>3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tr">
        <f>IFERROR(__xludf.DUMMYFUNCTION("""COMPUTED_VALUE"""),"Pandam")</f>
        <v>Pandam</v>
      </c>
      <c r="B5" s="1" t="str">
        <f>IFERROR(__xludf.DUMMYFUNCTION("""COMPUTED_VALUE"""),"Tower Basement")</f>
        <v>Tower Basement</v>
      </c>
      <c r="C5" s="1" t="str">
        <f>IFERROR(__xludf.DUMMYFUNCTION("""COMPUTED_VALUE"""),"Eryndor Windmere")</f>
        <v>Eryndor Windmere</v>
      </c>
      <c r="D5" s="1" t="str">
        <f>IFERROR(__xludf.DUMMYFUNCTION("""COMPUTED_VALUE"""),"4x1")</f>
        <v>4x1</v>
      </c>
      <c r="E5" s="1" t="str">
        <f>IFERROR(__xludf.DUMMYFUNCTION("""COMPUTED_VALUE"""),"4. High Rare")</f>
        <v>4. High Rare</v>
      </c>
      <c r="F5" s="1" t="str">
        <f>IFERROR(__xludf.DUMMYFUNCTION("""COMPUTED_VALUE"""),"Growth")</f>
        <v>Growth</v>
      </c>
      <c r="G5" s="1" t="str">
        <f>IFERROR(__xludf.DUMMYFUNCTION("""COMPUTED_VALUE"""),"Healing")</f>
        <v>Healing</v>
      </c>
      <c r="H5" s="1" t="str">
        <f>IFERROR(__xludf.DUMMYFUNCTION("""COMPUTED_VALUE"""),"Random No Replacement")</f>
        <v>Random No Replacement</v>
      </c>
      <c r="I5" s="1"/>
      <c r="J5" s="1"/>
      <c r="K5" s="1" t="str">
        <f>IFERROR(__xludf.DUMMYFUNCTION("""COMPUTED_VALUE"""),"Void")</f>
        <v>Void</v>
      </c>
      <c r="L5" s="1" t="str">
        <f>IFERROR(__xludf.DUMMYFUNCTION("""COMPUTED_VALUE"""),"Start of Turn")</f>
        <v>Start of Turn</v>
      </c>
      <c r="M5" s="1" t="str">
        <f>IFERROR(__xludf.DUMMYFUNCTION("""COMPUTED_VALUE"""),"W Mage")</f>
        <v>W Mage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tr">
        <f>IFERROR(__xludf.DUMMYFUNCTION("""COMPUTED_VALUE"""),"Umbraveil")</f>
        <v>Umbraveil</v>
      </c>
      <c r="B6" s="1" t="str">
        <f>IFERROR(__xludf.DUMMYFUNCTION("""COMPUTED_VALUE"""),"The Tower of Mist")</f>
        <v>The Tower of Mist</v>
      </c>
      <c r="C6" s="1" t="str">
        <f>IFERROR(__xludf.DUMMYFUNCTION("""COMPUTED_VALUE"""),"Emelda Redbough")</f>
        <v>Emelda Redbough</v>
      </c>
      <c r="D6" s="1" t="str">
        <f>IFERROR(__xludf.DUMMYFUNCTION("""COMPUTED_VALUE"""),"1x2")</f>
        <v>1x2</v>
      </c>
      <c r="E6" s="1" t="str">
        <f>IFERROR(__xludf.DUMMYFUNCTION("""COMPUTED_VALUE"""),"5. Legendary")</f>
        <v>5. Legendary</v>
      </c>
      <c r="F6" s="1" t="str">
        <f>IFERROR(__xludf.DUMMYFUNCTION("""COMPUTED_VALUE"""),"Engage")</f>
        <v>Engage</v>
      </c>
      <c r="G6" s="1" t="str">
        <f>IFERROR(__xludf.DUMMYFUNCTION("""COMPUTED_VALUE"""),"Affects Tp")</f>
        <v>Affects Tp</v>
      </c>
      <c r="H6" s="1" t="str">
        <f>IFERROR(__xludf.DUMMYFUNCTION("""COMPUTED_VALUE"""),"All")</f>
        <v>All</v>
      </c>
      <c r="I6" s="1"/>
      <c r="J6" s="1"/>
      <c r="K6" s="1" t="str">
        <f>IFERROR(__xludf.DUMMYFUNCTION("""COMPUTED_VALUE"""),"None")</f>
        <v>None</v>
      </c>
      <c r="L6" s="1" t="str">
        <f>IFERROR(__xludf.DUMMYFUNCTION("""COMPUTED_VALUE"""),"End of Turn")</f>
        <v>End of Turn</v>
      </c>
      <c r="M6" s="1" t="str">
        <f>IFERROR(__xludf.DUMMYFUNCTION("""COMPUTED_VALUE"""),"B Mage")</f>
        <v>B Mage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tr">
        <f>IFERROR(__xludf.DUMMYFUNCTION("""COMPUTED_VALUE"""),"Explorer's Camp")</f>
        <v>Explorer's Camp</v>
      </c>
      <c r="B7" s="1" t="str">
        <f>IFERROR(__xludf.DUMMYFUNCTION("""COMPUTED_VALUE"""),"Mountain Peaks")</f>
        <v>Mountain Peaks</v>
      </c>
      <c r="C7" s="1" t="str">
        <f>IFERROR(__xludf.DUMMYFUNCTION("""COMPUTED_VALUE"""),"Babaderu")</f>
        <v>Babaderu</v>
      </c>
      <c r="D7" s="1" t="str">
        <f>IFERROR(__xludf.DUMMYFUNCTION("""COMPUTED_VALUE"""),"2x2")</f>
        <v>2x2</v>
      </c>
      <c r="E7" s="1"/>
      <c r="F7" s="1" t="str">
        <f>IFERROR(__xludf.DUMMYFUNCTION("""COMPUTED_VALUE"""),"Cruel")</f>
        <v>Cruel</v>
      </c>
      <c r="G7" s="1" t="str">
        <f>IFERROR(__xludf.DUMMYFUNCTION("""COMPUTED_VALUE"""),"Targets Self")</f>
        <v>Targets Self</v>
      </c>
      <c r="H7" s="1"/>
      <c r="I7" s="1"/>
      <c r="J7" s="1"/>
      <c r="K7" s="1"/>
      <c r="L7" s="1" t="str">
        <f>IFERROR(__xludf.DUMMYFUNCTION("""COMPUTED_VALUE"""),"End of Round")</f>
        <v>End of Round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 t="str">
        <f>IFERROR(__xludf.DUMMYFUNCTION("""COMPUTED_VALUE"""),"Shrine Depths")</f>
        <v>Shrine Depths</v>
      </c>
      <c r="C8" s="1" t="str">
        <f>IFERROR(__xludf.DUMMYFUNCTION("""COMPUTED_VALUE"""),"Alden Orinbark")</f>
        <v>Alden Orinbark</v>
      </c>
      <c r="D8" s="1" t="str">
        <f>IFERROR(__xludf.DUMMYFUNCTION("""COMPUTED_VALUE"""),"3x2")</f>
        <v>3x2</v>
      </c>
      <c r="E8" s="1"/>
      <c r="F8" s="1" t="str">
        <f>IFERROR(__xludf.DUMMYFUNCTION("""COMPUTED_VALUE"""),"Stoic")</f>
        <v>Stoic</v>
      </c>
      <c r="G8" s="1" t="str">
        <f>IFERROR(__xludf.DUMMYFUNCTION("""COMPUTED_VALUE"""),"Fixed Dmg")</f>
        <v>Fixed Dmg</v>
      </c>
      <c r="H8" s="1"/>
      <c r="I8" s="1"/>
      <c r="J8" s="1"/>
      <c r="K8" s="1"/>
      <c r="L8" s="1" t="str">
        <f>IFERROR(__xludf.DUMMYFUNCTION("""COMPUTED_VALUE"""),"End of Battle")</f>
        <v>End of Battle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 t="str">
        <f>IFERROR(__xludf.DUMMYFUNCTION("""COMPUTED_VALUE"""),"Tidal Caves")</f>
        <v>Tidal Caves</v>
      </c>
      <c r="C9" s="1" t="str">
        <f>IFERROR(__xludf.DUMMYFUNCTION("""COMPUTED_VALUE"""),"Amata Ifura")</f>
        <v>Amata Ifura</v>
      </c>
      <c r="D9" s="1" t="str">
        <f>IFERROR(__xludf.DUMMYFUNCTION("""COMPUTED_VALUE"""),"4x2")</f>
        <v>4x2</v>
      </c>
      <c r="E9" s="1"/>
      <c r="F9" s="1" t="str">
        <f>IFERROR(__xludf.DUMMYFUNCTION("""COMPUTED_VALUE"""),"Empowered")</f>
        <v>Empowered</v>
      </c>
      <c r="G9" s="1" t="str">
        <f>IFERROR(__xludf.DUMMYFUNCTION("""COMPUTED_VALUE"""),"Fixed Pwr")</f>
        <v>Fixed Pwr</v>
      </c>
      <c r="H9" s="1"/>
      <c r="I9" s="1"/>
      <c r="J9" s="1"/>
      <c r="K9" s="1"/>
      <c r="L9" s="1" t="str">
        <f>IFERROR(__xludf.DUMMYFUNCTION("""COMPUTED_VALUE"""),"On Action")</f>
        <v>On Action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 t="str">
        <f>IFERROR(__xludf.DUMMYFUNCTION("""COMPUTED_VALUE"""),"The Desert Dungeon")</f>
        <v>The Desert Dungeon</v>
      </c>
      <c r="C10" s="1" t="str">
        <f>IFERROR(__xludf.DUMMYFUNCTION("""COMPUTED_VALUE"""),"Mira Solene")</f>
        <v>Mira Solene</v>
      </c>
      <c r="D10" s="1"/>
      <c r="E10" s="1"/>
      <c r="F10" s="1"/>
      <c r="G10" s="1" t="str">
        <f>IFERROR(__xludf.DUMMYFUNCTION("""COMPUTED_VALUE"""),"Target Filtering")</f>
        <v>Target Filtering</v>
      </c>
      <c r="H10" s="1"/>
      <c r="I10" s="1"/>
      <c r="J10" s="1"/>
      <c r="K10" s="1"/>
      <c r="L10" s="1" t="str">
        <f>IFERROR(__xludf.DUMMYFUNCTION("""COMPUTED_VALUE"""),"On Target Hp Change")</f>
        <v>On Target Hp Change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 t="str">
        <f>IFERROR(__xludf.DUMMYFUNCTION("""COMPUTED_VALUE"""),"Theives Guild Hideout")</f>
        <v>Theives Guild Hideout</v>
      </c>
      <c r="C11" s="1" t="str">
        <f>IFERROR(__xludf.DUMMYFUNCTION("""COMPUTED_VALUE"""),"Hans")</f>
        <v>Hans</v>
      </c>
      <c r="D11" s="1"/>
      <c r="E11" s="1"/>
      <c r="F11" s="1"/>
      <c r="G11" s="1" t="str">
        <f>IFERROR(__xludf.DUMMYFUNCTION("""COMPUTED_VALUE"""),"Out of Combat")</f>
        <v>Out of Combat</v>
      </c>
      <c r="H11" s="1"/>
      <c r="I11" s="1"/>
      <c r="J11" s="1"/>
      <c r="K11" s="1"/>
      <c r="L11" s="1" t="str">
        <f>IFERROR(__xludf.DUMMYFUNCTION("""COMPUTED_VALUE"""),"On Critical Hit")</f>
        <v>On Critical Hit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 t="str">
        <f>IFERROR(__xludf.DUMMYFUNCTION("""COMPUTED_VALUE"""),"Pandam Sewers")</f>
        <v>Pandam Sewers</v>
      </c>
      <c r="C12" s="1" t="str">
        <f>IFERROR(__xludf.DUMMYFUNCTION("""COMPUTED_VALUE"""),"Maris Featherwind")</f>
        <v>Maris Featherwind</v>
      </c>
      <c r="D12" s="1"/>
      <c r="E12" s="1"/>
      <c r="F12" s="1"/>
      <c r="G12" s="1" t="str">
        <f>IFERROR(__xludf.DUMMYFUNCTION("""COMPUTED_VALUE"""),"No Targets")</f>
        <v>No Targets</v>
      </c>
      <c r="H12" s="1"/>
      <c r="I12" s="1"/>
      <c r="J12" s="1"/>
      <c r="K12" s="1"/>
      <c r="L12" s="1" t="str">
        <f>IFERROR(__xludf.DUMMYFUNCTION("""COMPUTED_VALUE"""),"On Target Death")</f>
        <v>On Target Death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 t="str">
        <f>IFERROR(__xludf.DUMMYFUNCTION("""COMPUTED_VALUE"""),"Pandam Cathedral")</f>
        <v>Pandam Cathedral</v>
      </c>
      <c r="C13" s="1" t="str">
        <f>IFERROR(__xludf.DUMMYFUNCTION("""COMPUTED_VALUE"""),"Darum Vermillion")</f>
        <v>Darum Vermillion</v>
      </c>
      <c r="D13" s="1"/>
      <c r="E13" s="1"/>
      <c r="F13" s="1"/>
      <c r="G13" s="1" t="str">
        <f>IFERROR(__xludf.DUMMYFUNCTION("""COMPUTED_VALUE"""),"No Blue Mage")</f>
        <v>No Blue Mage</v>
      </c>
      <c r="H13" s="1"/>
      <c r="I13" s="1"/>
      <c r="J13" s="1"/>
      <c r="K13" s="1"/>
      <c r="L13" s="1" t="str">
        <f>IFERROR(__xludf.DUMMYFUNCTION("""COMPUTED_VALUE"""),"On Hp Change")</f>
        <v>On Hp Change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 t="str">
        <f>IFERROR(__xludf.DUMMYFUNCTION("""COMPUTED_VALUE"""),"Fireburg Volcano")</f>
        <v>Fireburg Volcano</v>
      </c>
      <c r="C14" s="1" t="str">
        <f>IFERROR(__xludf.DUMMYFUNCTION("""COMPUTED_VALUE"""),"Phoebe McIntire")</f>
        <v>Phoebe McIntire</v>
      </c>
      <c r="D14" s="1"/>
      <c r="E14" s="1"/>
      <c r="F14" s="1"/>
      <c r="G14" s="1"/>
      <c r="H14" s="1"/>
      <c r="I14" s="1"/>
      <c r="J14" s="1"/>
      <c r="K14" s="1"/>
      <c r="L14" s="1" t="str">
        <f>IFERROR(__xludf.DUMMYFUNCTION("""COMPUTED_VALUE"""),"On Tp Change")</f>
        <v>On Tp Change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 t="str">
        <f>IFERROR(__xludf.DUMMYFUNCTION("""COMPUTED_VALUE"""),"Castle Natela")</f>
        <v>Castle Natela</v>
      </c>
      <c r="C15" s="1" t="str">
        <f>IFERROR(__xludf.DUMMYFUNCTION("""COMPUTED_VALUE"""),"Catrin Russo")</f>
        <v>Catrin Russo</v>
      </c>
      <c r="D15" s="1"/>
      <c r="E15" s="1"/>
      <c r="F15" s="1"/>
      <c r="G15" s="1"/>
      <c r="H15" s="1"/>
      <c r="I15" s="1"/>
      <c r="J15" s="1"/>
      <c r="K15" s="1"/>
      <c r="L15" s="1" t="str">
        <f>IFERROR(__xludf.DUMMYFUNCTION("""COMPUTED_VALUE"""),"On Status Change")</f>
        <v>On Status Change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 t="str">
        <f>IFERROR(__xludf.DUMMYFUNCTION("""COMPUTED_VALUE"""),"Castle Natela's Basement")</f>
        <v>Castle Natela's Basement</v>
      </c>
      <c r="C16" s="1" t="str">
        <f>IFERROR(__xludf.DUMMYFUNCTION("""COMPUTED_VALUE"""),"Yuki Lanford")</f>
        <v>Yuki Lanford</v>
      </c>
      <c r="D16" s="1"/>
      <c r="E16" s="1"/>
      <c r="F16" s="1"/>
      <c r="G16" s="1"/>
      <c r="H16" s="1"/>
      <c r="I16" s="1"/>
      <c r="J16" s="1"/>
      <c r="K16" s="1"/>
      <c r="L16" s="1" t="str">
        <f>IFERROR(__xludf.DUMMYFUNCTION("""COMPUTED_VALUE"""),"On Targeted")</f>
        <v>On Targeted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 t="str">
        <f>IFERROR(__xludf.DUMMYFUNCTION("""COMPUTED_VALUE"""),"Weapons Research")</f>
        <v>Weapons Research</v>
      </c>
      <c r="C17" s="1" t="str">
        <f>IFERROR(__xludf.DUMMYFUNCTION("""COMPUTED_VALUE"""),"Gaelrick Quickstep")</f>
        <v>Gaelrick Quickstep</v>
      </c>
      <c r="D17" s="1"/>
      <c r="E17" s="1"/>
      <c r="F17" s="1"/>
      <c r="G17" s="1"/>
      <c r="H17" s="1"/>
      <c r="I17" s="1"/>
      <c r="J17" s="1"/>
      <c r="K17" s="1"/>
      <c r="L17" s="1" t="str">
        <f>IFERROR(__xludf.DUMMYFUNCTION("""COMPUTED_VALUE"""),"On Evade")</f>
        <v>On Evade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 t="str">
        <f>IFERROR(__xludf.DUMMYFUNCTION("""COMPUTED_VALUE"""),"Climate Control")</f>
        <v>Climate Control</v>
      </c>
      <c r="C18" s="1" t="str">
        <f>IFERROR(__xludf.DUMMYFUNCTION("""COMPUTED_VALUE"""),"Ryn Claybrow")</f>
        <v>Ryn Claybrow</v>
      </c>
      <c r="D18" s="1"/>
      <c r="E18" s="1"/>
      <c r="F18" s="1"/>
      <c r="G18" s="1"/>
      <c r="H18" s="1"/>
      <c r="I18" s="1"/>
      <c r="J18" s="1"/>
      <c r="K18" s="1"/>
      <c r="L18" s="1" t="str">
        <f>IFERROR(__xludf.DUMMYFUNCTION("""COMPUTED_VALUE"""),"On Death")</f>
        <v>On Death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 t="str">
        <f>IFERROR(__xludf.DUMMYFUNCTION("""COMPUTED_VALUE"""),"The Residential District")</f>
        <v>The Residential District</v>
      </c>
      <c r="C19" s="1" t="str">
        <f>IFERROR(__xludf.DUMMYFUNCTION("""COMPUTED_VALUE"""),"Kesta the Antiquarian")</f>
        <v>Kesta the Antiquarian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3" width="21.38"/>
    <col customWidth="1" min="4" max="4" width="61.5"/>
    <col customWidth="1" min="5" max="5" width="26.63"/>
    <col customWidth="1" min="6" max="6" width="15.75"/>
    <col customWidth="1" min="7" max="7" width="36.25"/>
    <col customWidth="1" min="8" max="8" width="38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8</v>
      </c>
      <c r="B2" s="5" t="s">
        <v>9</v>
      </c>
      <c r="C2" s="5" t="s">
        <v>10</v>
      </c>
      <c r="D2" s="5" t="s">
        <v>11</v>
      </c>
      <c r="E2" s="5"/>
      <c r="F2" s="5"/>
      <c r="G2" s="5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5" t="s">
        <v>8</v>
      </c>
      <c r="B3" s="5" t="s">
        <v>12</v>
      </c>
      <c r="C3" s="5" t="s">
        <v>13</v>
      </c>
      <c r="D3" s="5" t="s">
        <v>14</v>
      </c>
      <c r="E3" s="6"/>
      <c r="F3" s="5" t="s">
        <v>15</v>
      </c>
      <c r="G3" s="5" t="s">
        <v>16</v>
      </c>
      <c r="H3" s="5" t="s">
        <v>17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5" t="s">
        <v>8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7" t="s">
        <v>24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5" t="s">
        <v>25</v>
      </c>
      <c r="B5" s="5" t="s">
        <v>26</v>
      </c>
      <c r="C5" s="5" t="s">
        <v>27</v>
      </c>
      <c r="D5" s="5" t="s">
        <v>28</v>
      </c>
      <c r="E5" s="5"/>
      <c r="F5" s="5" t="s">
        <v>29</v>
      </c>
      <c r="G5" s="5" t="s">
        <v>30</v>
      </c>
      <c r="H5" s="5" t="s">
        <v>31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5" t="s">
        <v>25</v>
      </c>
      <c r="B6" s="5" t="s">
        <v>32</v>
      </c>
      <c r="C6" s="5" t="s">
        <v>33</v>
      </c>
      <c r="D6" s="8" t="s">
        <v>34</v>
      </c>
      <c r="E6" s="6"/>
      <c r="F6" s="5" t="s">
        <v>35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5" t="s">
        <v>25</v>
      </c>
      <c r="B7" s="5" t="s">
        <v>36</v>
      </c>
      <c r="C7" s="5" t="s">
        <v>37</v>
      </c>
      <c r="D7" s="5" t="s">
        <v>38</v>
      </c>
      <c r="E7" s="5" t="s">
        <v>39</v>
      </c>
      <c r="F7" s="5" t="s">
        <v>40</v>
      </c>
      <c r="G7" s="5" t="s">
        <v>41</v>
      </c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5" t="s">
        <v>42</v>
      </c>
      <c r="B8" s="5" t="s">
        <v>43</v>
      </c>
      <c r="C8" s="5" t="s">
        <v>44</v>
      </c>
      <c r="D8" s="5" t="s">
        <v>45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5" t="s">
        <v>42</v>
      </c>
      <c r="B9" s="5" t="s">
        <v>46</v>
      </c>
      <c r="C9" s="5" t="s">
        <v>47</v>
      </c>
      <c r="D9" s="5" t="s">
        <v>48</v>
      </c>
      <c r="E9" s="6"/>
      <c r="F9" s="5" t="s">
        <v>49</v>
      </c>
      <c r="G9" s="5" t="s">
        <v>50</v>
      </c>
      <c r="H9" s="5" t="s">
        <v>51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5" t="s">
        <v>42</v>
      </c>
      <c r="B10" s="5" t="s">
        <v>52</v>
      </c>
      <c r="C10" s="5" t="s">
        <v>53</v>
      </c>
      <c r="D10" s="5" t="s">
        <v>54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5" t="s">
        <v>55</v>
      </c>
      <c r="B11" s="8" t="s">
        <v>56</v>
      </c>
      <c r="C11" s="8" t="s">
        <v>57</v>
      </c>
      <c r="D11" s="5" t="s">
        <v>58</v>
      </c>
      <c r="E11" s="5"/>
      <c r="F11" s="5" t="s">
        <v>59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5" t="s">
        <v>55</v>
      </c>
      <c r="B12" s="5" t="s">
        <v>60</v>
      </c>
      <c r="C12" s="5" t="s">
        <v>61</v>
      </c>
      <c r="D12" s="5" t="s">
        <v>62</v>
      </c>
      <c r="E12" s="6"/>
      <c r="F12" s="5"/>
      <c r="G12" s="5" t="s">
        <v>63</v>
      </c>
      <c r="H12" s="5" t="s">
        <v>64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5" t="s">
        <v>55</v>
      </c>
      <c r="B13" s="8" t="s">
        <v>65</v>
      </c>
      <c r="C13" s="8" t="s">
        <v>66</v>
      </c>
      <c r="D13" s="8" t="s">
        <v>67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5" t="s">
        <v>68</v>
      </c>
      <c r="B14" s="5" t="s">
        <v>69</v>
      </c>
      <c r="C14" s="5" t="s">
        <v>70</v>
      </c>
      <c r="D14" s="5" t="s">
        <v>71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5" t="s">
        <v>68</v>
      </c>
      <c r="B15" s="5" t="s">
        <v>72</v>
      </c>
      <c r="C15" s="5" t="s">
        <v>73</v>
      </c>
      <c r="D15" s="5" t="s">
        <v>74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5" t="s">
        <v>68</v>
      </c>
      <c r="B16" s="5" t="s">
        <v>75</v>
      </c>
      <c r="C16" s="5" t="s">
        <v>76</v>
      </c>
      <c r="D16" s="5" t="s">
        <v>77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5" t="s">
        <v>78</v>
      </c>
      <c r="B17" s="5" t="s">
        <v>79</v>
      </c>
      <c r="C17" s="5" t="s">
        <v>80</v>
      </c>
      <c r="D17" s="5" t="s">
        <v>81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5" t="s">
        <v>78</v>
      </c>
      <c r="B18" s="5" t="s">
        <v>82</v>
      </c>
      <c r="C18" s="5" t="s">
        <v>83</v>
      </c>
      <c r="D18" s="5" t="s">
        <v>84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5" t="s">
        <v>78</v>
      </c>
      <c r="B19" s="5" t="s">
        <v>85</v>
      </c>
      <c r="C19" s="5" t="s">
        <v>86</v>
      </c>
      <c r="D19" s="5" t="s">
        <v>87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5" t="s">
        <v>88</v>
      </c>
      <c r="F20" s="6"/>
      <c r="G20" s="5" t="s">
        <v>89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5" t="s">
        <v>90</v>
      </c>
      <c r="F21" s="6"/>
      <c r="G21" s="5" t="s">
        <v>91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5" t="s">
        <v>92</v>
      </c>
      <c r="F22" s="6"/>
      <c r="G22" s="5" t="s">
        <v>93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5" t="s">
        <v>94</v>
      </c>
      <c r="F23" s="6"/>
      <c r="G23" s="5" t="s">
        <v>95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5" t="s">
        <v>96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5" t="s">
        <v>97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5" t="s">
        <v>98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5" t="s">
        <v>99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5" t="s">
        <v>100</v>
      </c>
      <c r="F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</sheetData>
  <dataValidations>
    <dataValidation type="list" allowBlank="1" showErrorMessage="1" sqref="A2:A19">
      <formula1>'Data Validation List'!$A$2:$A$7</formula1>
    </dataValidation>
    <dataValidation type="list" allowBlank="1" showErrorMessage="1" sqref="C2:C19">
      <formula1>'Data Validation List'!$B$2:$B$19</formula1>
    </dataValidation>
    <dataValidation type="list" allowBlank="1" showErrorMessage="1" sqref="B2:B19">
      <formula1>'Data Validation List'!$C$2:$C$19</formula1>
    </dataValidation>
  </dataValidations>
  <drawing r:id="rId1"/>
</worksheet>
</file>